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CF" sheetId="2" state="visible" r:id="rId2"/>
    <sheet xmlns:r="http://schemas.openxmlformats.org/officeDocument/2006/relationships" name="WACC" sheetId="3" state="visible" r:id="rId3"/>
    <sheet xmlns:r="http://schemas.openxmlformats.org/officeDocument/2006/relationships" name="Assumptions" sheetId="4" state="visible" r:id="rId4"/>
    <sheet xmlns:r="http://schemas.openxmlformats.org/officeDocument/2006/relationships" name="Sensitivity" sheetId="5" state="visible" r:id="rId5"/>
  </sheets>
  <definedNames>
    <definedName name="FY0Rev">Assumptions!$C$5</definedName>
    <definedName name="NetDebt">Assumptions!$C$8</definedName>
    <definedName name="Shares">Assumptions!$C$9</definedName>
    <definedName name="RefPrice">Assumptions!$C$10</definedName>
    <definedName name="DA_Pct">Assumptions!$C$16</definedName>
    <definedName name="CapexPct">Assumptions!$C$17</definedName>
    <definedName name="NWCPct">Assumptions!$C$18</definedName>
    <definedName name="TaxRate">Assumptions!$C$19</definedName>
    <definedName name="TermGrowth">Assumptions!$C$27</definedName>
    <definedName name="WACC_Rate">WACC!$C$15</definedName>
    <definedName name="_xlnm.Print_Area" localSheetId="0">'Summary'!$A$1:$E$32</definedName>
    <definedName name="_xlnm.Print_Area" localSheetId="1">'DCF'!$A$1:$H$48</definedName>
    <definedName name="_xlnm.Print_Area" localSheetId="2">'WACC'!$A$1:$E$18</definedName>
    <definedName name="_xlnm.Print_Area" localSheetId="3">'Assumptions'!$A$1:$H$30</definedName>
    <definedName name="_xlnm.Print_Area" localSheetId="4">'Sensitivity'!$A$1:$H$24</definedName>
  </definedNames>
  <calcPr calcId="191" fullCalcOnLoad="1"/>
</workbook>
</file>

<file path=xl/styles.xml><?xml version="1.0" encoding="utf-8"?>
<styleSheet xmlns="http://schemas.openxmlformats.org/spreadsheetml/2006/main">
  <numFmts count="8">
    <numFmt numFmtId="164" formatCode="#,##0.0;(#,##0.0)"/>
    <numFmt numFmtId="165" formatCode="0.0%;(0.0%)"/>
    <numFmt numFmtId="166" formatCode="$#,##0.00"/>
    <numFmt numFmtId="167" formatCode="0.0000%"/>
    <numFmt numFmtId="168" formatCode="0.00000%"/>
    <numFmt numFmtId="169" formatCode="0.0000000"/>
    <numFmt numFmtId="170" formatCode="0.0000"/>
    <numFmt numFmtId="171" formatCode="0.000000"/>
  </numFmts>
  <fonts count="12">
    <font>
      <name val="Calibri"/>
      <family val="2"/>
      <color theme="1"/>
      <sz val="11"/>
      <scheme val="minor"/>
    </font>
    <font>
      <name val="Calibri"/>
      <b val="1"/>
      <color rgb="001F4E79"/>
      <sz val="12"/>
    </font>
    <font>
      <name val="Calibri"/>
      <color rgb="00808080"/>
      <sz val="9"/>
    </font>
    <font>
      <name val="Calibri"/>
      <color rgb="000563C1"/>
      <sz val="9"/>
      <u val="single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color rgb="000000FF"/>
      <sz val="10"/>
    </font>
    <font>
      <name val="Calibri"/>
      <b val="1"/>
      <color rgb="00FFFFFF"/>
      <sz val="10"/>
    </font>
    <font>
      <name val="Calibri"/>
      <i val="1"/>
      <color rgb="00808080"/>
      <sz val="9"/>
    </font>
    <font>
      <name val="Calibri"/>
      <color rgb="00006100"/>
      <sz val="10"/>
    </font>
    <font>
      <name val="Consolas"/>
      <color rgb="007F7F7F"/>
      <sz val="9"/>
    </font>
    <font>
      <name val="Calibri"/>
      <b val="1"/>
      <color rgb="00006100"/>
      <sz val="10"/>
    </font>
  </fonts>
  <fills count="5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top style="thin">
        <color rgb="00000000"/>
      </top>
    </border>
    <border>
      <top style="double">
        <color rgb="00000000"/>
      </top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4" fillId="2" borderId="0" applyAlignment="1" pivotButton="0" quotePrefix="0" xfId="0">
      <alignment horizontal="right"/>
    </xf>
    <xf numFmtId="0" fontId="5" fillId="0" borderId="0" pivotButton="0" quotePrefix="0" xfId="0"/>
    <xf numFmtId="0" fontId="10" fillId="0" borderId="0" pivotButton="0" quotePrefix="0" xfId="0"/>
    <xf numFmtId="169" fontId="11" fillId="0" borderId="0" pivotButton="0" quotePrefix="0" xfId="0"/>
    <xf numFmtId="168" fontId="5" fillId="0" borderId="0" pivotButton="0" quotePrefix="0" xfId="0"/>
    <xf numFmtId="164" fontId="11" fillId="0" borderId="0" pivotButton="0" quotePrefix="0" xfId="0"/>
    <xf numFmtId="166" fontId="11" fillId="0" borderId="0" pivotButton="0" quotePrefix="0" xfId="0"/>
    <xf numFmtId="165" fontId="5" fillId="0" borderId="0" pivotButton="0" quotePrefix="0" xfId="0"/>
    <xf numFmtId="0" fontId="8" fillId="0" borderId="0" applyAlignment="1" pivotButton="0" quotePrefix="0" xfId="0">
      <alignment horizontal="right"/>
    </xf>
    <xf numFmtId="164" fontId="9" fillId="0" borderId="0" pivotButton="0" quotePrefix="0" xfId="0"/>
    <xf numFmtId="165" fontId="9" fillId="0" borderId="0" pivotButton="0" quotePrefix="0" xfId="0"/>
    <xf numFmtId="0" fontId="8" fillId="0" borderId="0" pivotButton="0" quotePrefix="0" xfId="0"/>
    <xf numFmtId="0" fontId="4" fillId="0" borderId="0" pivotButton="0" quotePrefix="0" xfId="0"/>
    <xf numFmtId="164" fontId="4" fillId="0" borderId="2" pivotButton="0" quotePrefix="0" xfId="0"/>
    <xf numFmtId="164" fontId="4" fillId="0" borderId="1" pivotButton="0" quotePrefix="0" xfId="0"/>
    <xf numFmtId="166" fontId="4" fillId="0" borderId="1" pivotButton="0" quotePrefix="0" xfId="0"/>
    <xf numFmtId="166" fontId="9" fillId="0" borderId="0" pivotButton="0" quotePrefix="0" xfId="0"/>
    <xf numFmtId="168" fontId="9" fillId="0" borderId="0" pivotButton="0" quotePrefix="0" xfId="0"/>
    <xf numFmtId="171" fontId="5" fillId="0" borderId="0" pivotButton="0" quotePrefix="0" xfId="0"/>
    <xf numFmtId="0" fontId="4" fillId="0" borderId="0" applyAlignment="1" pivotButton="0" quotePrefix="0" xfId="0">
      <alignment horizontal="center"/>
    </xf>
    <xf numFmtId="0" fontId="7" fillId="3" borderId="0" pivotButton="0" quotePrefix="0" xfId="0"/>
    <xf numFmtId="0" fontId="5" fillId="3" borderId="0" pivotButton="0" quotePrefix="0" xfId="0"/>
    <xf numFmtId="0" fontId="7" fillId="3" borderId="0" applyAlignment="1" pivotButton="0" quotePrefix="0" xfId="0">
      <alignment horizontal="center"/>
    </xf>
    <xf numFmtId="164" fontId="5" fillId="0" borderId="0" pivotButton="0" quotePrefix="0" xfId="0"/>
    <xf numFmtId="1" fontId="6" fillId="0" borderId="0" applyAlignment="1" pivotButton="0" quotePrefix="0" xfId="0">
      <alignment horizontal="right"/>
    </xf>
    <xf numFmtId="1" fontId="5" fillId="0" borderId="0" applyAlignment="1" pivotButton="0" quotePrefix="0" xfId="0">
      <alignment horizontal="right"/>
    </xf>
    <xf numFmtId="170" fontId="5" fillId="0" borderId="0" pivotButton="0" quotePrefix="0" xfId="0"/>
    <xf numFmtId="164" fontId="4" fillId="0" borderId="0" pivotButton="0" quotePrefix="0" xfId="0"/>
    <xf numFmtId="10" fontId="9" fillId="0" borderId="0" pivotButton="0" quotePrefix="0" xfId="0"/>
    <xf numFmtId="2" fontId="9" fillId="0" borderId="0" pivotButton="0" quotePrefix="0" xfId="0"/>
    <xf numFmtId="10" fontId="4" fillId="0" borderId="1" pivotButton="0" quotePrefix="0" xfId="0"/>
    <xf numFmtId="167" fontId="4" fillId="0" borderId="1" pivotButton="0" quotePrefix="0" xfId="0"/>
    <xf numFmtId="168" fontId="4" fillId="0" borderId="2" pivotButton="0" quotePrefix="0" xfId="0"/>
    <xf numFmtId="169" fontId="5" fillId="0" borderId="0" pivotButton="0" quotePrefix="0" xfId="0"/>
    <xf numFmtId="164" fontId="6" fillId="0" borderId="0" pivotButton="0" quotePrefix="0" xfId="0"/>
    <xf numFmtId="165" fontId="6" fillId="0" borderId="0" pivotButton="0" quotePrefix="0" xfId="0"/>
    <xf numFmtId="166" fontId="6" fillId="0" borderId="0" pivotButton="0" quotePrefix="0" xfId="0"/>
    <xf numFmtId="165" fontId="6" fillId="0" borderId="0" applyAlignment="1" pivotButton="0" quotePrefix="0" xfId="0">
      <alignment horizontal="right"/>
    </xf>
    <xf numFmtId="10" fontId="6" fillId="0" borderId="0" pivotButton="0" quotePrefix="0" xfId="0"/>
    <xf numFmtId="2" fontId="6" fillId="0" borderId="0" pivotButton="0" quotePrefix="0" xfId="0"/>
    <xf numFmtId="0" fontId="4" fillId="2" borderId="3" applyAlignment="1" pivotButton="0" quotePrefix="0" xfId="0">
      <alignment horizontal="center"/>
    </xf>
    <xf numFmtId="165" fontId="5" fillId="0" borderId="3" applyAlignment="1" pivotButton="0" quotePrefix="0" xfId="0">
      <alignment horizontal="center"/>
    </xf>
    <xf numFmtId="165" fontId="11" fillId="0" borderId="3" applyAlignment="1" pivotButton="0" quotePrefix="0" xfId="0">
      <alignment horizontal="center"/>
    </xf>
    <xf numFmtId="167" fontId="5" fillId="0" borderId="3" applyAlignment="1" pivotButton="0" quotePrefix="0" xfId="0">
      <alignment horizontal="center"/>
    </xf>
    <xf numFmtId="164" fontId="5" fillId="0" borderId="3" pivotButton="0" quotePrefix="0" xfId="0"/>
    <xf numFmtId="167" fontId="11" fillId="0" borderId="3" applyAlignment="1" pivotButton="0" quotePrefix="0" xfId="0">
      <alignment horizontal="center"/>
    </xf>
    <xf numFmtId="164" fontId="5" fillId="4" borderId="3" pivotButton="0" quotePrefix="0" xfId="0"/>
    <xf numFmtId="166" fontId="5" fillId="0" borderId="3" pivotButton="0" quotePrefix="0" xfId="0"/>
    <xf numFmtId="166" fontId="5" fillId="4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F3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24" customWidth="1" min="2" max="2"/>
    <col width="14" customWidth="1" min="3" max="3"/>
    <col width="14" customWidth="1" min="4" max="4"/>
  </cols>
  <sheetData>
    <row r="1">
      <c r="A1" s="1" t="inlineStr">
        <is>
          <t>IndustrialCo — DCF Valuation Summary (BM-DCF-001, USD m)</t>
        </is>
      </c>
    </row>
    <row r="2">
      <c r="A2" s="2" t="inlineStr">
        <is>
          <t>Navigate:</t>
        </is>
      </c>
      <c r="B2" s="3" t="inlineStr">
        <is>
          <t>Summary</t>
        </is>
      </c>
      <c r="C2" s="3" t="inlineStr">
        <is>
          <t>DCF</t>
        </is>
      </c>
      <c r="D2" s="3" t="inlineStr">
        <is>
          <t>WACC</t>
        </is>
      </c>
      <c r="E2" s="3" t="inlineStr">
        <is>
          <t>Assumptions</t>
        </is>
      </c>
      <c r="F2" s="3" t="inlineStr">
        <is>
          <t>Sensitivity</t>
        </is>
      </c>
    </row>
    <row r="4">
      <c r="A4" s="4" t="inlineStr">
        <is>
          <t>Headline Outputs</t>
        </is>
      </c>
      <c r="B4" s="5" t="n"/>
      <c r="C4" s="5" t="n"/>
      <c r="D4" s="5" t="n"/>
      <c r="E4" s="5" t="n"/>
    </row>
    <row r="5">
      <c r="A5" s="4" t="inlineStr">
        <is>
          <t>Output</t>
        </is>
      </c>
      <c r="B5" s="4" t="inlineStr">
        <is>
          <t>Machine label</t>
        </is>
      </c>
      <c r="C5" s="6" t="inlineStr">
        <is>
          <t>Value</t>
        </is>
      </c>
      <c r="D5" s="6" t="inlineStr">
        <is>
          <t>Display</t>
        </is>
      </c>
    </row>
    <row r="6">
      <c r="A6" s="7" t="inlineStr">
        <is>
          <t>Discount rate (WACC, decimal)</t>
        </is>
      </c>
      <c r="B6" s="8" t="inlineStr">
        <is>
          <t>wacc</t>
        </is>
      </c>
      <c r="C6" s="9">
        <f>WACC_Rate</f>
        <v>0.0811875</v>
      </c>
      <c r="D6" s="10">
        <f>C6</f>
        <v>0.0811875</v>
      </c>
    </row>
    <row r="7">
      <c r="A7" s="7" t="inlineStr">
        <is>
          <t>Enterprise value ($m)</t>
        </is>
      </c>
      <c r="B7" s="8" t="inlineStr">
        <is>
          <t>enterprise_value</t>
        </is>
      </c>
      <c r="C7" s="11">
        <f>DCF!C37</f>
        <v>1509.9691580978006</v>
      </c>
    </row>
    <row r="8">
      <c r="A8" s="7" t="inlineStr">
        <is>
          <t>Equity value ($m)</t>
        </is>
      </c>
      <c r="B8" s="8" t="inlineStr">
        <is>
          <t>equity_value</t>
        </is>
      </c>
      <c r="C8" s="11">
        <f>DCF!C40</f>
        <v>1259.9691580978006</v>
      </c>
    </row>
    <row r="9">
      <c r="A9" s="7" t="inlineStr">
        <is>
          <t>Implied price per share ($)</t>
        </is>
      </c>
      <c r="B9" s="8" t="inlineStr">
        <is>
          <t>implied_price_per_share</t>
        </is>
      </c>
      <c r="C9" s="12">
        <f>DCF!C42</f>
        <v>8.399794387318671</v>
      </c>
      <c r="D9" s="13">
        <f>C9/RefPrice-1</f>
        <v>0.04997429841483392</v>
      </c>
    </row>
    <row r="10">
      <c r="D10" s="14" t="inlineStr">
        <is>
          <t>vs $8.00 reference</t>
        </is>
      </c>
    </row>
    <row r="12">
      <c r="A12" s="4" t="inlineStr">
        <is>
          <t>EV → Equity Bridge ($m)</t>
        </is>
      </c>
      <c r="B12" s="5" t="n"/>
      <c r="C12" s="5" t="n"/>
      <c r="D12" s="5" t="n"/>
      <c r="E12" s="5" t="n"/>
    </row>
    <row r="13">
      <c r="A13" s="7" t="inlineStr">
        <is>
          <t>PV of explicit FCFF (Y1–Y5)</t>
        </is>
      </c>
      <c r="C13" s="15">
        <f>DCF!C35</f>
        <v>359.0362558539451</v>
      </c>
    </row>
    <row r="14">
      <c r="A14" s="7" t="inlineStr">
        <is>
          <t>PV of terminal value</t>
        </is>
      </c>
      <c r="C14" s="15">
        <f>DCF!C36</f>
        <v>1150.9329022438556</v>
      </c>
      <c r="D14" s="16">
        <f>DCF!C38</f>
        <v>0.7622227885063264</v>
      </c>
      <c r="E14" s="17" t="inlineStr">
        <is>
          <t>of EV</t>
        </is>
      </c>
    </row>
    <row r="15">
      <c r="A15" s="18" t="inlineStr">
        <is>
          <t>Enterprise value</t>
        </is>
      </c>
      <c r="C15" s="19">
        <f>C13+C14</f>
        <v>1509.9691580978006</v>
      </c>
    </row>
    <row r="16">
      <c r="A16" s="7" t="inlineStr">
        <is>
          <t>Less: net debt</t>
        </is>
      </c>
      <c r="C16" s="15">
        <f>-NetDebt</f>
        <v>-250.0</v>
      </c>
    </row>
    <row r="17">
      <c r="A17" s="18" t="inlineStr">
        <is>
          <t>Equity value</t>
        </is>
      </c>
      <c r="C17" s="20">
        <f>C15+C16</f>
        <v>1259.9691580978006</v>
      </c>
    </row>
    <row r="18">
      <c r="A18" s="7" t="inlineStr">
        <is>
          <t>Shares outstanding (m)</t>
        </is>
      </c>
      <c r="C18" s="15">
        <f>Shares</f>
        <v>150.0</v>
      </c>
    </row>
    <row r="19">
      <c r="A19" s="18" t="inlineStr">
        <is>
          <t>Implied price per share</t>
        </is>
      </c>
      <c r="C19" s="21">
        <f>C17/C18</f>
        <v>8.399794387318671</v>
      </c>
    </row>
    <row r="20">
      <c r="A20" s="7" t="inlineStr">
        <is>
          <t>Reference share price</t>
        </is>
      </c>
      <c r="C20" s="22">
        <f>RefPrice</f>
        <v>8.0</v>
      </c>
    </row>
    <row r="21">
      <c r="A21" s="7" t="inlineStr">
        <is>
          <t>Premium / (discount)</t>
        </is>
      </c>
      <c r="C21" s="13">
        <f>C19/C20-1</f>
        <v>0.04997429841483392</v>
      </c>
    </row>
    <row r="23">
      <c r="A23" s="4" t="inlineStr">
        <is>
          <t>Key Assumptions</t>
        </is>
      </c>
      <c r="B23" s="5" t="n"/>
      <c r="C23" s="5" t="n"/>
      <c r="D23" s="5" t="n"/>
      <c r="E23" s="5" t="n"/>
    </row>
    <row r="24">
      <c r="A24" s="7" t="inlineStr">
        <is>
          <t>WACC</t>
        </is>
      </c>
      <c r="C24" s="23">
        <f>WACC_Rate</f>
        <v>0.0811875</v>
      </c>
    </row>
    <row r="25">
      <c r="A25" s="7" t="inlineStr">
        <is>
          <t>Terminal growth (g)</t>
        </is>
      </c>
      <c r="C25" s="16">
        <f>TermGrowth</f>
        <v>0.02</v>
      </c>
    </row>
    <row r="26">
      <c r="A26" s="7" t="inlineStr">
        <is>
          <t>Tax rate</t>
        </is>
      </c>
      <c r="C26" s="16">
        <f>TaxRate</f>
        <v>0.25</v>
      </c>
    </row>
    <row r="27">
      <c r="A27" s="7" t="inlineStr">
        <is>
          <t>FY0 revenue ($m)</t>
        </is>
      </c>
      <c r="C27" s="15">
        <f>FY0Rev</f>
        <v>1000.0</v>
      </c>
    </row>
    <row r="28">
      <c r="A28" s="7" t="inlineStr">
        <is>
          <t>FY0 EBITDA margin</t>
        </is>
      </c>
      <c r="C28" s="16">
        <f>Assumptions!C6</f>
        <v>0.18</v>
      </c>
    </row>
    <row r="30">
      <c r="A30" s="4" t="inlineStr">
        <is>
          <t>Checks</t>
        </is>
      </c>
      <c r="B30" s="5" t="n"/>
      <c r="C30" s="5" t="n"/>
      <c r="D30" s="5" t="n"/>
      <c r="E30" s="5" t="n"/>
    </row>
    <row r="31">
      <c r="A31" s="7" t="inlineStr">
        <is>
          <t>Check: Summary bridge = DCF equity value (= 0)</t>
        </is>
      </c>
      <c r="C31" s="24">
        <f>C17-DCF!C40</f>
        <v>0.0</v>
      </c>
      <c r="D31" s="25" t="str">
        <f>IF(ABS(C31)&lt;0.000001,"OK","ERROR")</f>
        <v>OK</v>
      </c>
    </row>
    <row r="32">
      <c r="A32" s="7" t="inlineStr">
        <is>
          <t>Check: implied price ties Summary vs DCF (= 0)</t>
        </is>
      </c>
      <c r="C32" s="24">
        <f>C19-DCF!C42</f>
        <v>0.0</v>
      </c>
      <c r="D32" s="25" t="str">
        <f>IF(ABS(C32)&lt;0.000001,"OK","ERROR")</f>
        <v>OK</v>
      </c>
    </row>
  </sheetData>
  <hyperlinks>
    <hyperlink ref="B2" location="'Summary'!A1"/>
    <hyperlink ref="C2" location="'DCF'!A1"/>
    <hyperlink ref="D2" location="'WACC'!A1"/>
    <hyperlink ref="E2" location="'Assumptions'!A1"/>
    <hyperlink ref="F2" location="'Sensitivity'!A1"/>
  </hyperlink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H4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4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</cols>
  <sheetData>
    <row r="1">
      <c r="A1" s="1" t="inlineStr">
        <is>
          <t>IndustrialCo — Enterprise DCF (USD m; end-of-year discounting)</t>
        </is>
      </c>
    </row>
    <row r="2">
      <c r="A2" s="2" t="inlineStr">
        <is>
          <t>Navigate:</t>
        </is>
      </c>
      <c r="B2" s="3" t="inlineStr">
        <is>
          <t>Summary</t>
        </is>
      </c>
      <c r="C2" s="3" t="inlineStr">
        <is>
          <t>DCF</t>
        </is>
      </c>
      <c r="D2" s="3" t="inlineStr">
        <is>
          <t>WACC</t>
        </is>
      </c>
      <c r="E2" s="3" t="inlineStr">
        <is>
          <t>Assumptions</t>
        </is>
      </c>
      <c r="F2" s="3" t="inlineStr">
        <is>
          <t>Sensitivity</t>
        </is>
      </c>
    </row>
    <row r="4">
      <c r="A4" s="26" t="inlineStr">
        <is>
          <t>USD millions</t>
        </is>
      </c>
      <c r="B4" s="27" t="inlineStr"/>
      <c r="C4" s="28" t="inlineStr">
        <is>
          <t>FY0A</t>
        </is>
      </c>
      <c r="D4" s="28" t="inlineStr">
        <is>
          <t>FY1E</t>
        </is>
      </c>
      <c r="E4" s="28" t="inlineStr">
        <is>
          <t>FY2E</t>
        </is>
      </c>
      <c r="F4" s="28" t="inlineStr">
        <is>
          <t>FY3E</t>
        </is>
      </c>
      <c r="G4" s="28" t="inlineStr">
        <is>
          <t>FY4E</t>
        </is>
      </c>
      <c r="H4" s="28" t="inlineStr">
        <is>
          <t>FY5E</t>
        </is>
      </c>
    </row>
    <row r="5">
      <c r="A5" s="4" t="inlineStr">
        <is>
          <t>Free Cash Flow to the Firm</t>
        </is>
      </c>
      <c r="B5" s="5" t="n"/>
      <c r="C5" s="5" t="n"/>
      <c r="D5" s="5" t="n"/>
      <c r="E5" s="5" t="n"/>
      <c r="F5" s="5" t="n"/>
      <c r="G5" s="5" t="n"/>
      <c r="H5" s="5" t="n"/>
    </row>
    <row r="6">
      <c r="A6" s="7" t="inlineStr">
        <is>
          <t>Revenue growth (% YoY)</t>
        </is>
      </c>
      <c r="D6" s="16">
        <f>Assumptions!C14</f>
        <v>0.04</v>
      </c>
      <c r="E6" s="16">
        <f>Assumptions!D14</f>
        <v>0.035</v>
      </c>
      <c r="F6" s="16">
        <f>Assumptions!E14</f>
        <v>0.03</v>
      </c>
      <c r="G6" s="16">
        <f>Assumptions!F14</f>
        <v>0.025</v>
      </c>
      <c r="H6" s="16">
        <f>Assumptions!G14</f>
        <v>0.02</v>
      </c>
    </row>
    <row r="7">
      <c r="A7" s="18" t="inlineStr">
        <is>
          <t>Revenue</t>
        </is>
      </c>
      <c r="C7" s="15">
        <f>FY0Rev</f>
        <v>1000.0</v>
      </c>
      <c r="D7" s="29">
        <f>C7*(1+D6)</f>
        <v>1040.0</v>
      </c>
      <c r="E7" s="29">
        <f>D7*(1+E6)</f>
        <v>1076.3999999999999</v>
      </c>
      <c r="F7" s="29">
        <f>E7*(1+F6)</f>
        <v>1108.6919999999998</v>
      </c>
      <c r="G7" s="29">
        <f>F7*(1+G6)</f>
        <v>1136.4092999999996</v>
      </c>
      <c r="H7" s="29">
        <f>G7*(1+H6)</f>
        <v>1159.1374859999996</v>
      </c>
    </row>
    <row r="8">
      <c r="A8" s="7" t="inlineStr">
        <is>
          <t>EBITDA margin</t>
        </is>
      </c>
      <c r="C8" s="16">
        <f>Assumptions!C6</f>
        <v>0.18</v>
      </c>
      <c r="D8" s="16">
        <f>Assumptions!C15</f>
        <v>0.18</v>
      </c>
      <c r="E8" s="16">
        <f>Assumptions!D15</f>
        <v>0.18</v>
      </c>
      <c r="F8" s="16">
        <f>Assumptions!E15</f>
        <v>0.18</v>
      </c>
      <c r="G8" s="16">
        <f>Assumptions!F15</f>
        <v>0.18</v>
      </c>
      <c r="H8" s="16">
        <f>Assumptions!G15</f>
        <v>0.18</v>
      </c>
    </row>
    <row r="9">
      <c r="A9" s="18" t="inlineStr">
        <is>
          <t>EBITDA</t>
        </is>
      </c>
      <c r="C9" s="29">
        <f>C7*C8</f>
        <v>180.0</v>
      </c>
      <c r="D9" s="29">
        <f>D7*D8</f>
        <v>187.2</v>
      </c>
      <c r="E9" s="29">
        <f>E7*E8</f>
        <v>193.75199999999998</v>
      </c>
      <c r="F9" s="29">
        <f>F7*F8</f>
        <v>199.56455999999994</v>
      </c>
      <c r="G9" s="29">
        <f>G7*G8</f>
        <v>204.55367399999992</v>
      </c>
      <c r="H9" s="29">
        <f>H7*H8</f>
        <v>208.64474747999992</v>
      </c>
    </row>
    <row r="10">
      <c r="A10" s="7" t="inlineStr">
        <is>
          <t>Less: D&amp;A (6.0% of revenue)</t>
        </is>
      </c>
      <c r="D10" s="29">
        <f>-D7*DA_Pct</f>
        <v>-62.4</v>
      </c>
      <c r="E10" s="29">
        <f>-E7*DA_Pct</f>
        <v>-64.58399999999999</v>
      </c>
      <c r="F10" s="29">
        <f>-F7*DA_Pct</f>
        <v>-66.52151999999998</v>
      </c>
      <c r="G10" s="29">
        <f>-G7*DA_Pct</f>
        <v>-68.18455799999997</v>
      </c>
      <c r="H10" s="29">
        <f>-H7*DA_Pct</f>
        <v>-69.54824915999997</v>
      </c>
    </row>
    <row r="11">
      <c r="A11" s="18" t="inlineStr">
        <is>
          <t>EBIT</t>
        </is>
      </c>
      <c r="D11" s="20">
        <f>D9+D10</f>
        <v>124.79999999999998</v>
      </c>
      <c r="E11" s="20">
        <f>E9+E10</f>
        <v>129.168</v>
      </c>
      <c r="F11" s="20">
        <f>F9+F10</f>
        <v>133.04303999999996</v>
      </c>
      <c r="G11" s="20">
        <f>G9+G10</f>
        <v>136.36911599999996</v>
      </c>
      <c r="H11" s="20">
        <f>H9+H10</f>
        <v>139.09649831999997</v>
      </c>
    </row>
    <row r="12">
      <c r="A12" s="7" t="inlineStr">
        <is>
          <t>EBIT margin</t>
        </is>
      </c>
      <c r="D12" s="13">
        <f>D11/D7</f>
        <v>0.11999999999999998</v>
      </c>
      <c r="E12" s="13">
        <f>E11/E7</f>
        <v>0.12000000000000002</v>
      </c>
      <c r="F12" s="13">
        <f>F11/F7</f>
        <v>0.12</v>
      </c>
      <c r="G12" s="13">
        <f>G11/G7</f>
        <v>0.12000000000000001</v>
      </c>
      <c r="H12" s="13">
        <f>H11/H7</f>
        <v>0.12000000000000001</v>
      </c>
    </row>
    <row r="13">
      <c r="A13" s="7" t="inlineStr">
        <is>
          <t>Less: cash taxes (25% × EBIT)</t>
        </is>
      </c>
      <c r="D13" s="29">
        <f>-D11*TaxRate</f>
        <v>-31.199999999999996</v>
      </c>
      <c r="E13" s="29">
        <f>-E11*TaxRate</f>
        <v>-32.292</v>
      </c>
      <c r="F13" s="29">
        <f>-F11*TaxRate</f>
        <v>-33.26075999999999</v>
      </c>
      <c r="G13" s="29">
        <f>-G11*TaxRate</f>
        <v>-34.09227899999999</v>
      </c>
      <c r="H13" s="29">
        <f>-H11*TaxRate</f>
        <v>-34.77412457999999</v>
      </c>
    </row>
    <row r="14">
      <c r="A14" s="18" t="inlineStr">
        <is>
          <t>NOPAT</t>
        </is>
      </c>
      <c r="D14" s="20">
        <f>D11+D13</f>
        <v>93.6</v>
      </c>
      <c r="E14" s="20">
        <f>E11+E13</f>
        <v>96.876</v>
      </c>
      <c r="F14" s="20">
        <f>F11+F13</f>
        <v>99.78227999999997</v>
      </c>
      <c r="G14" s="20">
        <f>G11+G13</f>
        <v>102.27683699999997</v>
      </c>
      <c r="H14" s="20">
        <f>H11+H13</f>
        <v>104.32237373999997</v>
      </c>
    </row>
    <row r="15">
      <c r="A15" s="7" t="inlineStr">
        <is>
          <t>Plus: D&amp;A</t>
        </is>
      </c>
      <c r="D15" s="29">
        <f>-D10</f>
        <v>62.4</v>
      </c>
      <c r="E15" s="29">
        <f>-E10</f>
        <v>64.58399999999999</v>
      </c>
      <c r="F15" s="29">
        <f>-F10</f>
        <v>66.52151999999998</v>
      </c>
      <c r="G15" s="29">
        <f>-G10</f>
        <v>68.18455799999997</v>
      </c>
      <c r="H15" s="29">
        <f>-H10</f>
        <v>69.54824915999997</v>
      </c>
    </row>
    <row r="16">
      <c r="A16" s="7" t="inlineStr">
        <is>
          <t>Less: capex (6.5% of revenue)</t>
        </is>
      </c>
      <c r="D16" s="29">
        <f>-D7*CapexPct</f>
        <v>-67.60000000000001</v>
      </c>
      <c r="E16" s="29">
        <f>-E7*CapexPct</f>
        <v>-69.966</v>
      </c>
      <c r="F16" s="29">
        <f>-F7*CapexPct</f>
        <v>-72.06497999999999</v>
      </c>
      <c r="G16" s="29">
        <f>-G7*CapexPct</f>
        <v>-73.86660449999998</v>
      </c>
      <c r="H16" s="29">
        <f>-H7*CapexPct</f>
        <v>-75.34393658999998</v>
      </c>
    </row>
    <row r="17">
      <c r="A17" s="7" t="inlineStr">
        <is>
          <t>Less: increase in net working capital</t>
        </is>
      </c>
      <c r="D17" s="29">
        <f>-NWCPct*(D7-C7)</f>
        <v>-4.0</v>
      </c>
      <c r="E17" s="29">
        <f>-NWCPct*(E7-D7)</f>
        <v>-3.6399999999999864</v>
      </c>
      <c r="F17" s="29">
        <f>-NWCPct*(F7-E7)</f>
        <v>-3.2291999999999916</v>
      </c>
      <c r="G17" s="29">
        <f>-NWCPct*(G7-F7)</f>
        <v>-2.77172999999998</v>
      </c>
      <c r="H17" s="29">
        <f>-NWCPct*(H7-G7)</f>
        <v>-2.2728186000000052</v>
      </c>
    </row>
    <row r="18">
      <c r="A18" s="18" t="inlineStr">
        <is>
          <t>Free cash flow to the firm (FCFF)</t>
        </is>
      </c>
      <c r="D18" s="19">
        <f>SUM(D14:D17)</f>
        <v>84.39999999999999</v>
      </c>
      <c r="E18" s="19">
        <f>SUM(E14:E17)</f>
        <v>87.854</v>
      </c>
      <c r="F18" s="19">
        <f>SUM(F14:F17)</f>
        <v>91.00961999999998</v>
      </c>
      <c r="G18" s="19">
        <f>SUM(G14:G17)</f>
        <v>93.82306049999997</v>
      </c>
      <c r="H18" s="19">
        <f>SUM(H14:H17)</f>
        <v>96.25386770999995</v>
      </c>
    </row>
    <row r="20">
      <c r="A20" s="7" t="inlineStr">
        <is>
          <t>Discount period (end-of-year)</t>
        </is>
      </c>
      <c r="D20" s="30" t="n">
        <v>1</v>
      </c>
      <c r="E20" s="31">
        <f>D20+1</f>
        <v>2.0</v>
      </c>
      <c r="F20" s="31">
        <f>E20+1</f>
        <v>3.0</v>
      </c>
      <c r="G20" s="31">
        <f>F20+1</f>
        <v>4.0</v>
      </c>
      <c r="H20" s="31">
        <f>G20+1</f>
        <v>5.0</v>
      </c>
    </row>
    <row r="21">
      <c r="A21" s="7" t="inlineStr">
        <is>
          <t>Discount factor @ WACC</t>
        </is>
      </c>
      <c r="D21" s="32">
        <f>1/(1+WACC_Rate)^D20</f>
        <v>0.9249089542748136</v>
      </c>
      <c r="E21" s="32">
        <f>1/(1+WACC_Rate)^E20</f>
        <v>0.8554565736977292</v>
      </c>
      <c r="F21" s="32">
        <f>1/(1+WACC_Rate)^F20</f>
        <v>0.7912194450062817</v>
      </c>
      <c r="G21" s="32">
        <f>1/(1+WACC_Rate)^G20</f>
        <v>0.7318059494826585</v>
      </c>
      <c r="H21" s="32">
        <f>1/(1+WACC_Rate)^H20</f>
        <v>0.6768538754680927</v>
      </c>
    </row>
    <row r="22">
      <c r="A22" s="18" t="inlineStr">
        <is>
          <t>PV of FCFF</t>
        </is>
      </c>
      <c r="D22" s="20">
        <f>D18*D21</f>
        <v>78.06231574079426</v>
      </c>
      <c r="E22" s="20">
        <f>E18*E21</f>
        <v>75.1552818256403</v>
      </c>
      <c r="F22" s="20">
        <f>F18*F21</f>
        <v>72.00858102663258</v>
      </c>
      <c r="G22" s="20">
        <f>G18*G21</f>
        <v>68.6602738725714</v>
      </c>
      <c r="H22" s="20">
        <f>H18*H21</f>
        <v>65.14980338830658</v>
      </c>
    </row>
    <row r="24">
      <c r="A24" s="4" t="inlineStr">
        <is>
          <t>Terminal Value — Gordon Growth on Normalized FCF</t>
        </is>
      </c>
      <c r="B24" s="5" t="n"/>
      <c r="C24" s="5" t="n"/>
      <c r="D24" s="5" t="n"/>
      <c r="E24" s="5" t="n"/>
      <c r="F24" s="5" t="n"/>
      <c r="G24" s="5" t="n"/>
      <c r="H24" s="5" t="n"/>
    </row>
    <row r="25">
      <c r="A25" s="7" t="inlineStr">
        <is>
          <t>NOPAT — Year 5</t>
        </is>
      </c>
      <c r="C25" s="29">
        <f>H14</f>
        <v>104.32237373999997</v>
      </c>
    </row>
    <row r="26">
      <c r="A26" s="7" t="inlineStr">
        <is>
          <t>ΔNWC — Year 5</t>
        </is>
      </c>
      <c r="C26" s="29">
        <f>-H17</f>
        <v>2.2728186000000052</v>
      </c>
    </row>
    <row r="27">
      <c r="A27" s="7" t="inlineStr">
        <is>
          <t>Terminal growth (g)</t>
        </is>
      </c>
      <c r="C27" s="16">
        <f>TermGrowth</f>
        <v>0.02</v>
      </c>
    </row>
    <row r="28">
      <c r="A28" s="7" t="inlineStr">
        <is>
          <t>Normalized terminal FCF  = NOPAT₅ − ΔNWC₅ × (1+g)</t>
        </is>
      </c>
      <c r="C28" s="29">
        <f>C25-C26*(1+C27)</f>
        <v>102.00409876799996</v>
      </c>
    </row>
    <row r="29">
      <c r="A29" s="18" t="inlineStr">
        <is>
          <t>Terminal value @ end of Year 5  = norm FCF × (1+g) / (WACC − g)</t>
        </is>
      </c>
      <c r="C29" s="33">
        <f>C28*(1+C27)/(WACC_Rate-C27)</f>
        <v>1700.4156199119097</v>
      </c>
    </row>
    <row r="30">
      <c r="A30" s="7" t="inlineStr">
        <is>
          <t>Discount factor — Year 5</t>
        </is>
      </c>
      <c r="C30" s="32">
        <f>H21</f>
        <v>0.6768538754680927</v>
      </c>
    </row>
    <row r="31">
      <c r="A31" s="18" t="inlineStr">
        <is>
          <t>PV of terminal value</t>
        </is>
      </c>
      <c r="C31" s="20">
        <f>C29*C30</f>
        <v>1150.9329022438556</v>
      </c>
    </row>
    <row r="32">
      <c r="A32" s="17" t="inlineStr">
        <is>
          <t>Capex = D&amp;A in perpetuity, so normalized FCF carries no capex/D&amp;A wedge.</t>
        </is>
      </c>
    </row>
    <row r="34">
      <c r="A34" s="4" t="inlineStr">
        <is>
          <t>Enterprise → Equity Value Bridge</t>
        </is>
      </c>
      <c r="B34" s="5" t="n"/>
      <c r="C34" s="5" t="n"/>
      <c r="D34" s="5" t="n"/>
      <c r="E34" s="5" t="n"/>
      <c r="F34" s="5" t="n"/>
      <c r="G34" s="5" t="n"/>
      <c r="H34" s="5" t="n"/>
    </row>
    <row r="35">
      <c r="A35" s="7" t="inlineStr">
        <is>
          <t>PV of explicit FCFF (Years 1–5)</t>
        </is>
      </c>
      <c r="C35" s="29">
        <f>SUM(D22:H22)</f>
        <v>359.0362558539451</v>
      </c>
    </row>
    <row r="36">
      <c r="A36" s="7" t="inlineStr">
        <is>
          <t>PV of terminal value</t>
        </is>
      </c>
      <c r="C36" s="29">
        <f>C31</f>
        <v>1150.9329022438556</v>
      </c>
    </row>
    <row r="37">
      <c r="A37" s="18" t="inlineStr">
        <is>
          <t>Enterprise value</t>
        </is>
      </c>
      <c r="C37" s="19">
        <f>C35+C36</f>
        <v>1509.9691580978006</v>
      </c>
    </row>
    <row r="38">
      <c r="A38" s="7" t="inlineStr">
        <is>
          <t>Terminal value as % of EV</t>
        </is>
      </c>
      <c r="C38" s="13">
        <f>C36/C37</f>
        <v>0.7622227885063264</v>
      </c>
    </row>
    <row r="39">
      <c r="A39" s="7" t="inlineStr">
        <is>
          <t>Less: net debt</t>
        </is>
      </c>
      <c r="C39" s="15">
        <f>-NetDebt</f>
        <v>-250.0</v>
      </c>
    </row>
    <row r="40">
      <c r="A40" s="18" t="inlineStr">
        <is>
          <t>Equity value</t>
        </is>
      </c>
      <c r="C40" s="20">
        <f>C37+C39</f>
        <v>1259.9691580978006</v>
      </c>
    </row>
    <row r="41">
      <c r="A41" s="7" t="inlineStr">
        <is>
          <t>Shares outstanding (m)</t>
        </is>
      </c>
      <c r="C41" s="15">
        <f>Shares</f>
        <v>150.0</v>
      </c>
    </row>
    <row r="42">
      <c r="A42" s="18" t="inlineStr">
        <is>
          <t>Implied price per share</t>
        </is>
      </c>
      <c r="C42" s="21">
        <f>C40/C41</f>
        <v>8.399794387318671</v>
      </c>
    </row>
    <row r="43">
      <c r="A43" s="7" t="inlineStr">
        <is>
          <t>Reference share price</t>
        </is>
      </c>
      <c r="C43" s="22">
        <f>RefPrice</f>
        <v>8.0</v>
      </c>
    </row>
    <row r="44">
      <c r="A44" s="7" t="inlineStr">
        <is>
          <t>Implied premium / (discount) to reference</t>
        </is>
      </c>
      <c r="C44" s="13">
        <f>C42/C43-1</f>
        <v>0.04997429841483392</v>
      </c>
    </row>
    <row r="46">
      <c r="A46" s="4" t="inlineStr">
        <is>
          <t>Checks</t>
        </is>
      </c>
      <c r="B46" s="5" t="n"/>
      <c r="C46" s="5" t="n"/>
      <c r="D46" s="5" t="n"/>
      <c r="E46" s="5" t="n"/>
      <c r="F46" s="5" t="n"/>
      <c r="G46" s="5" t="n"/>
      <c r="H46" s="5" t="n"/>
    </row>
    <row r="47">
      <c r="A47" s="7" t="inlineStr">
        <is>
          <t>Check: EV − PV(FCFF) − PV(TV) (= 0)</t>
        </is>
      </c>
      <c r="C47" s="24">
        <f>C37-C35-C36</f>
        <v>0.0</v>
      </c>
      <c r="D47" s="25" t="str">
        <f>IF(ABS(C47)&lt;0.000001,"OK","ERROR")</f>
        <v>OK</v>
      </c>
    </row>
    <row r="48">
      <c r="A48" s="7" t="inlineStr">
        <is>
          <t>Check: Equity − (EV − net debt) (= 0)</t>
        </is>
      </c>
      <c r="C48" s="24">
        <f>C40-(C37-NetDebt)</f>
        <v>0.0</v>
      </c>
      <c r="D48" s="25" t="str">
        <f>IF(ABS(C48)&lt;0.000001,"OK","ERROR")</f>
        <v>OK</v>
      </c>
    </row>
    <row r="49">
      <c r="A49" s="7" t="inlineStr">
        <is>
          <t>Check: Gordon condition (g &lt; WACC)</t>
        </is>
      </c>
      <c r="D49" s="25" t="str">
        <f>IF(TermGrowth&lt;WACC_Rate,"OK","ERROR")</f>
        <v>OK</v>
      </c>
    </row>
  </sheetData>
  <hyperlinks>
    <hyperlink ref="B2" location="'Summary'!A1"/>
    <hyperlink ref="C2" location="'DCF'!A1"/>
    <hyperlink ref="D2" location="'WACC'!A1"/>
    <hyperlink ref="E2" location="'Assumptions'!A1"/>
    <hyperlink ref="F2" location="'Sensitivity'!A1"/>
  </hyperlinks>
  <pageMargins left="0.75" right="0.75" top="1" bottom="1" header="0.5" footer="0.5"/>
  <pageSetup orientation="landscape" fitToHeight="1" fitToWidth="1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F1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4" customWidth="1" min="2" max="2"/>
    <col width="13" customWidth="1" min="3" max="3"/>
    <col width="10" customWidth="1" min="4" max="4"/>
  </cols>
  <sheetData>
    <row r="1">
      <c r="A1" s="1" t="inlineStr">
        <is>
          <t>IndustrialCo — WACC Build (CAPM)</t>
        </is>
      </c>
    </row>
    <row r="2">
      <c r="A2" s="2" t="inlineStr">
        <is>
          <t>Navigate:</t>
        </is>
      </c>
      <c r="B2" s="3" t="inlineStr">
        <is>
          <t>Summary</t>
        </is>
      </c>
      <c r="C2" s="3" t="inlineStr">
        <is>
          <t>DCF</t>
        </is>
      </c>
      <c r="D2" s="3" t="inlineStr">
        <is>
          <t>WACC</t>
        </is>
      </c>
      <c r="E2" s="3" t="inlineStr">
        <is>
          <t>Assumptions</t>
        </is>
      </c>
      <c r="F2" s="3" t="inlineStr">
        <is>
          <t>Sensitivity</t>
        </is>
      </c>
    </row>
    <row r="4">
      <c r="A4" s="4" t="inlineStr">
        <is>
          <t>WACC Build — component by component</t>
        </is>
      </c>
      <c r="B4" s="5" t="n"/>
      <c r="C4" s="5" t="n"/>
      <c r="D4" s="5" t="n"/>
      <c r="E4" s="5" t="n"/>
    </row>
    <row r="5">
      <c r="A5" s="7" t="inlineStr">
        <is>
          <t>Risk-free rate (10Y UST)</t>
        </is>
      </c>
      <c r="C5" s="34">
        <f>Assumptions!C22</f>
        <v>0.0425</v>
      </c>
    </row>
    <row r="6">
      <c r="A6" s="7" t="inlineStr">
        <is>
          <t>Equity risk premium</t>
        </is>
      </c>
      <c r="C6" s="34">
        <f>Assumptions!C23</f>
        <v>0.05</v>
      </c>
    </row>
    <row r="7">
      <c r="A7" s="7" t="inlineStr">
        <is>
          <t>Beta (levered)</t>
        </is>
      </c>
      <c r="C7" s="35">
        <f>Assumptions!C24</f>
        <v>1.1</v>
      </c>
    </row>
    <row r="8">
      <c r="A8" s="18" t="inlineStr">
        <is>
          <t>Cost of equity  (Ke = rf + β × ERP)</t>
        </is>
      </c>
      <c r="C8" s="36">
        <f>C5+C7*C6</f>
        <v>0.0975</v>
      </c>
    </row>
    <row r="10">
      <c r="A10" s="7" t="inlineStr">
        <is>
          <t>Pre-tax cost of debt</t>
        </is>
      </c>
      <c r="C10" s="34">
        <f>Assumptions!C25</f>
        <v>0.0575</v>
      </c>
    </row>
    <row r="11">
      <c r="A11" s="7" t="inlineStr">
        <is>
          <t>Tax rate</t>
        </is>
      </c>
      <c r="C11" s="16">
        <f>TaxRate</f>
        <v>0.25</v>
      </c>
    </row>
    <row r="12">
      <c r="A12" s="18" t="inlineStr">
        <is>
          <t>After-tax cost of debt  (Kd × (1 − t))</t>
        </is>
      </c>
      <c r="C12" s="37">
        <f>C10*(1-C11)</f>
        <v>0.043125000000000004</v>
      </c>
    </row>
    <row r="13">
      <c r="A13" s="7" t="inlineStr">
        <is>
          <t>Target D/(D+E)</t>
        </is>
      </c>
      <c r="C13" s="16">
        <f>Assumptions!C26</f>
        <v>0.3</v>
      </c>
    </row>
    <row r="14">
      <c r="A14" s="7" t="inlineStr">
        <is>
          <t>Implied E/(D+E)</t>
        </is>
      </c>
      <c r="C14" s="13">
        <f>1-C13</f>
        <v>0.7</v>
      </c>
    </row>
    <row r="15">
      <c r="A15" s="18" t="inlineStr">
        <is>
          <t>WACC  = E/V × Ke + D/V × after-tax Kd</t>
        </is>
      </c>
      <c r="C15" s="38">
        <f>C14*C8+C13*C12</f>
        <v>0.0811875</v>
      </c>
    </row>
    <row r="16">
      <c r="A16" s="7" t="inlineStr">
        <is>
          <t>Check: WACC − stated 8.11875% (= 0)</t>
        </is>
      </c>
      <c r="C16" s="39">
        <f>C15-0.0811875</f>
        <v>0.0</v>
      </c>
      <c r="D16" s="25" t="str">
        <f>IF(ABS(C16)&lt;0.0000001,"OK","ERROR")</f>
        <v>OK</v>
      </c>
    </row>
    <row r="17">
      <c r="A17" s="17" t="inlineStr">
        <is>
          <t>Plain CAPM per brief — no country/size premium, no alpha, no beta relevering.</t>
        </is>
      </c>
    </row>
  </sheetData>
  <hyperlinks>
    <hyperlink ref="B2" location="'Summary'!A1"/>
    <hyperlink ref="C2" location="'DCF'!A1"/>
    <hyperlink ref="D2" location="'WACC'!A1"/>
    <hyperlink ref="E2" location="'Assumptions'!A1"/>
    <hyperlink ref="F2" location="'Sensitivity'!A1"/>
  </hyperlinks>
  <pageMargins left="0.75" right="0.75" top="1" bottom="1" header="0.5" footer="0.5"/>
  <pageSetup orientation="landscape" fitToHeight="1" fitToWidth="1"/>
</worksheet>
</file>

<file path=xl/worksheets/sheet4.xml><?xml version="1.0" encoding="utf-8"?>
<worksheet xmlns="http://schemas.openxmlformats.org/spreadsheetml/2006/main">
  <sheetPr>
    <tabColor rgb="000070C0"/>
    <outlinePr summaryBelow="1" summaryRight="1"/>
    <pageSetUpPr fitToPage="1"/>
  </sheetPr>
  <dimension ref="A1:H2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4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</cols>
  <sheetData>
    <row r="1">
      <c r="A1" s="1" t="inlineStr">
        <is>
          <t>IndustrialCo — BM-DCF-001 — Assumptions &amp; Drivers (USD m)</t>
        </is>
      </c>
    </row>
    <row r="2">
      <c r="A2" s="2" t="inlineStr">
        <is>
          <t>Navigate:</t>
        </is>
      </c>
      <c r="B2" s="3" t="inlineStr">
        <is>
          <t>Summary</t>
        </is>
      </c>
      <c r="C2" s="3" t="inlineStr">
        <is>
          <t>DCF</t>
        </is>
      </c>
      <c r="D2" s="3" t="inlineStr">
        <is>
          <t>WACC</t>
        </is>
      </c>
      <c r="E2" s="3" t="inlineStr">
        <is>
          <t>Assumptions</t>
        </is>
      </c>
      <c r="F2" s="3" t="inlineStr">
        <is>
          <t>Sensitivity</t>
        </is>
      </c>
    </row>
    <row r="4">
      <c r="A4" s="4" t="inlineStr">
        <is>
          <t>Target &amp; Capitalization</t>
        </is>
      </c>
      <c r="B4" s="5" t="n"/>
      <c r="C4" s="5" t="n"/>
      <c r="D4" s="5" t="n"/>
      <c r="E4" s="5" t="n"/>
      <c r="F4" s="5" t="n"/>
      <c r="G4" s="5" t="n"/>
      <c r="H4" s="5" t="n"/>
    </row>
    <row r="5">
      <c r="A5" s="7" t="inlineStr">
        <is>
          <t>FY0 (last FY) revenue ($m)</t>
        </is>
      </c>
      <c r="C5" s="40" t="n">
        <v>1000</v>
      </c>
    </row>
    <row r="6">
      <c r="A6" s="7" t="inlineStr">
        <is>
          <t>FY0 EBITDA margin</t>
        </is>
      </c>
      <c r="C6" s="41" t="n">
        <v>0.18</v>
      </c>
    </row>
    <row r="7">
      <c r="A7" s="7" t="inlineStr">
        <is>
          <t>FY0 EBITDA ($m)</t>
        </is>
      </c>
      <c r="C7" s="29">
        <f>C5*C6</f>
        <v>180.0</v>
      </c>
    </row>
    <row r="8">
      <c r="A8" s="7" t="inlineStr">
        <is>
          <t>Net debt ($m)</t>
        </is>
      </c>
      <c r="C8" s="40" t="n">
        <v>250</v>
      </c>
    </row>
    <row r="9">
      <c r="A9" s="7" t="inlineStr">
        <is>
          <t>Shares outstanding (m)</t>
        </is>
      </c>
      <c r="C9" s="40" t="n">
        <v>150</v>
      </c>
    </row>
    <row r="10">
      <c r="A10" s="7" t="inlineStr">
        <is>
          <t>Reference share price ($)</t>
        </is>
      </c>
      <c r="C10" s="42" t="n">
        <v>8</v>
      </c>
    </row>
    <row r="12">
      <c r="A12" s="4" t="inlineStr">
        <is>
          <t>Operating Forecast Drivers (constant where single value)</t>
        </is>
      </c>
      <c r="B12" s="5" t="n"/>
      <c r="C12" s="5" t="n"/>
      <c r="D12" s="5" t="n"/>
      <c r="E12" s="5" t="n"/>
      <c r="F12" s="5" t="n"/>
      <c r="G12" s="5" t="n"/>
      <c r="H12" s="5" t="n"/>
    </row>
    <row r="13">
      <c r="A13" s="4" t="inlineStr">
        <is>
          <t>Per-year drivers</t>
        </is>
      </c>
      <c r="C13" s="28" t="inlineStr">
        <is>
          <t>Year 1</t>
        </is>
      </c>
      <c r="D13" s="28" t="inlineStr">
        <is>
          <t>Year 2</t>
        </is>
      </c>
      <c r="E13" s="28" t="inlineStr">
        <is>
          <t>Year 3</t>
        </is>
      </c>
      <c r="F13" s="28" t="inlineStr">
        <is>
          <t>Year 4</t>
        </is>
      </c>
      <c r="G13" s="28" t="inlineStr">
        <is>
          <t>Year 5</t>
        </is>
      </c>
    </row>
    <row r="14">
      <c r="A14" s="7" t="inlineStr">
        <is>
          <t>Revenue growth (% YoY)</t>
        </is>
      </c>
      <c r="C14" s="43" t="n">
        <v>0.04</v>
      </c>
      <c r="D14" s="43" t="n">
        <v>0.035</v>
      </c>
      <c r="E14" s="43" t="n">
        <v>0.03</v>
      </c>
      <c r="F14" s="43" t="n">
        <v>0.025</v>
      </c>
      <c r="G14" s="43" t="n">
        <v>0.02</v>
      </c>
    </row>
    <row r="15">
      <c r="A15" s="7" t="inlineStr">
        <is>
          <t>EBITDA margin</t>
        </is>
      </c>
      <c r="C15" s="43" t="n">
        <v>0.18</v>
      </c>
      <c r="D15" s="43" t="n">
        <v>0.18</v>
      </c>
      <c r="E15" s="43" t="n">
        <v>0.18</v>
      </c>
      <c r="F15" s="43" t="n">
        <v>0.18</v>
      </c>
      <c r="G15" s="43" t="n">
        <v>0.18</v>
      </c>
    </row>
    <row r="16">
      <c r="A16" s="7" t="inlineStr">
        <is>
          <t>D&amp;A (% of revenue)</t>
        </is>
      </c>
      <c r="C16" s="41" t="n">
        <v>0.06</v>
      </c>
    </row>
    <row r="17">
      <c r="A17" s="7" t="inlineStr">
        <is>
          <t>Capex (% of revenue)</t>
        </is>
      </c>
      <c r="C17" s="41" t="n">
        <v>0.065</v>
      </c>
    </row>
    <row r="18">
      <c r="A18" s="7" t="inlineStr">
        <is>
          <t>Change in NWC (% of YoY Δrevenue)</t>
        </is>
      </c>
      <c r="C18" s="41" t="n">
        <v>0.1</v>
      </c>
    </row>
    <row r="19">
      <c r="A19" s="7" t="inlineStr">
        <is>
          <t>Cash tax rate (on EBIT)</t>
        </is>
      </c>
      <c r="C19" s="41" t="n">
        <v>0.25</v>
      </c>
    </row>
    <row r="20">
      <c r="A20" s="17" t="inlineStr">
        <is>
          <t>All drivers apply identically to every projection year (per brief).</t>
        </is>
      </c>
    </row>
    <row r="21">
      <c r="A21" s="4" t="inlineStr">
        <is>
          <t>WACC &amp; Terminal Value Inputs (plain CAPM — final, no extra premia)</t>
        </is>
      </c>
      <c r="B21" s="5" t="n"/>
      <c r="C21" s="5" t="n"/>
      <c r="D21" s="5" t="n"/>
      <c r="E21" s="5" t="n"/>
      <c r="F21" s="5" t="n"/>
      <c r="G21" s="5" t="n"/>
      <c r="H21" s="5" t="n"/>
    </row>
    <row r="22">
      <c r="A22" s="7" t="inlineStr">
        <is>
          <t>Risk-free rate (10Y UST)</t>
        </is>
      </c>
      <c r="C22" s="44" t="n">
        <v>0.0425</v>
      </c>
    </row>
    <row r="23">
      <c r="A23" s="7" t="inlineStr">
        <is>
          <t>Equity risk premium</t>
        </is>
      </c>
      <c r="C23" s="44" t="n">
        <v>0.05</v>
      </c>
    </row>
    <row r="24">
      <c r="A24" s="7" t="inlineStr">
        <is>
          <t>Beta (levered)</t>
        </is>
      </c>
      <c r="C24" s="45" t="n">
        <v>1.1</v>
      </c>
    </row>
    <row r="25">
      <c r="A25" s="7" t="inlineStr">
        <is>
          <t>Pre-tax cost of debt</t>
        </is>
      </c>
      <c r="C25" s="44" t="n">
        <v>0.0575</v>
      </c>
    </row>
    <row r="26">
      <c r="A26" s="7" t="inlineStr">
        <is>
          <t>Target D/(D+E)</t>
        </is>
      </c>
      <c r="C26" s="41" t="n">
        <v>0.3</v>
      </c>
    </row>
    <row r="27">
      <c r="A27" s="7" t="inlineStr">
        <is>
          <t>Terminal growth (g)</t>
        </is>
      </c>
      <c r="C27" s="41" t="n">
        <v>0.02</v>
      </c>
    </row>
    <row r="28">
      <c r="A28" s="17" t="inlineStr">
        <is>
          <t>Note: g (2.0%) &lt; risk-free (4.25%) &lt; WACC — Gordon condition satisfied.</t>
        </is>
      </c>
    </row>
  </sheetData>
  <hyperlinks>
    <hyperlink ref="B2" location="'Summary'!A1"/>
    <hyperlink ref="C2" location="'DCF'!A1"/>
    <hyperlink ref="D2" location="'WACC'!A1"/>
    <hyperlink ref="E2" location="'Assumptions'!A1"/>
    <hyperlink ref="F2" location="'Sensitivity'!A1"/>
  </hyperlinks>
  <pageMargins left="0.75" right="0.75" top="1" bottom="1" header="0.5" footer="0.5"/>
  <pageSetup orientation="landscape" fitToHeight="1" fitToWidth="1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 fitToPage="1"/>
  </sheetPr>
  <dimension ref="A1:H2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</cols>
  <sheetData>
    <row r="1">
      <c r="A1" s="1" t="inlineStr">
        <is>
          <t>IndustrialCo — Sensitivity: WACC × Terminal Growth</t>
        </is>
      </c>
    </row>
    <row r="2">
      <c r="A2" s="2" t="inlineStr">
        <is>
          <t>Navigate:</t>
        </is>
      </c>
      <c r="B2" s="3" t="inlineStr">
        <is>
          <t>Summary</t>
        </is>
      </c>
      <c r="C2" s="3" t="inlineStr">
        <is>
          <t>DCF</t>
        </is>
      </c>
      <c r="D2" s="3" t="inlineStr">
        <is>
          <t>WACC</t>
        </is>
      </c>
      <c r="E2" s="3" t="inlineStr">
        <is>
          <t>Assumptions</t>
        </is>
      </c>
      <c r="F2" s="3" t="inlineStr">
        <is>
          <t>Sensitivity</t>
        </is>
      </c>
    </row>
    <row r="4">
      <c r="A4" s="4" t="inlineStr">
        <is>
          <t>Enterprise value ($m) — rows: WACC, columns: terminal growth g</t>
        </is>
      </c>
      <c r="B4" s="5" t="n"/>
      <c r="C4" s="5" t="n"/>
      <c r="D4" s="5" t="n"/>
      <c r="E4" s="5" t="n"/>
      <c r="F4" s="5" t="n"/>
      <c r="G4" s="5" t="n"/>
      <c r="H4" s="5" t="n"/>
    </row>
    <row r="5">
      <c r="B5" s="46" t="inlineStr">
        <is>
          <t>WACC \ g</t>
        </is>
      </c>
      <c r="C5" s="47">
        <f>E5-0.01</f>
        <v>0.01</v>
      </c>
      <c r="D5" s="47">
        <f>E5-0.005</f>
        <v>0.015</v>
      </c>
      <c r="E5" s="48">
        <f>TermGrowth</f>
        <v>0.02</v>
      </c>
      <c r="F5" s="47">
        <f>E5+0.005</f>
        <v>0.025</v>
      </c>
      <c r="G5" s="47">
        <f>E5+0.01</f>
        <v>0.03</v>
      </c>
    </row>
    <row r="6">
      <c r="B6" s="49">
        <f>B8-0.01</f>
        <v>0.0711875</v>
      </c>
      <c r="C6" s="50">
        <f>DCF!$D$18/(1+$B6)^1+DCF!$E$18/(1+$B6)^2+DCF!$F$18/(1+$B6)^3+DCF!$G$18/(1+$B6)^4+DCF!$H$18/(1+$B6)^5+(DCF!$C$25-DCF!$C$26*(1+C$5))*(1+C$5)/(($B6-C$5)*(1+$B6)^5)</f>
        <v>1563.0220634057603</v>
      </c>
      <c r="D6" s="50">
        <f>DCF!$D$18/(1+$B6)^1+DCF!$E$18/(1+$B6)^2+DCF!$F$18/(1+$B6)^3+DCF!$G$18/(1+$B6)^4+DCF!$H$18/(1+$B6)^5+(DCF!$C$25-DCF!$C$26*(1+D$5))*(1+D$5)/(($B6-D$5)*(1+$B6)^5)</f>
        <v>1675.5754853065016</v>
      </c>
      <c r="E6" s="50">
        <f>DCF!$D$18/(1+$B6)^1+DCF!$E$18/(1+$B6)^2+DCF!$F$18/(1+$B6)^3+DCF!$G$18/(1+$B6)^4+DCF!$H$18/(1+$B6)^5+(DCF!$C$25-DCF!$C$26*(1+E$5))*(1+E$5)/(($B6-E$5)*(1+$B6)^5)</f>
        <v>1810.1157915581412</v>
      </c>
      <c r="F6" s="50">
        <f>DCF!$D$18/(1+$B6)^1+DCF!$E$18/(1+$B6)^2+DCF!$F$18/(1+$B6)^3+DCF!$G$18/(1+$B6)^4+DCF!$H$18/(1+$B6)^5+(DCF!$C$25-DCF!$C$26*(1+F$5))*(1+F$5)/(($B6-F$5)*(1+$B6)^5)</f>
        <v>1973.7835129376956</v>
      </c>
      <c r="G6" s="50">
        <f>DCF!$D$18/(1+$B6)^1+DCF!$E$18/(1+$B6)^2+DCF!$F$18/(1+$B6)^3+DCF!$G$18/(1+$B6)^4+DCF!$H$18/(1+$B6)^5+(DCF!$C$25-DCF!$C$26*(1+G$5))*(1+G$5)/(($B6-G$5)*(1+$B6)^5)</f>
        <v>2177.186509279307</v>
      </c>
    </row>
    <row r="7">
      <c r="B7" s="49">
        <f>B8-0.005</f>
        <v>0.07618749999999999</v>
      </c>
      <c r="C7" s="50">
        <f>DCF!$D$18/(1+$B7)^1+DCF!$E$18/(1+$B7)^2+DCF!$F$18/(1+$B7)^3+DCF!$G$18/(1+$B7)^4+DCF!$H$18/(1+$B7)^5+(DCF!$C$25-DCF!$C$26*(1+C$5))*(1+C$5)/(($B7-C$5)*(1+$B7)^5)</f>
        <v>1442.4194944095457</v>
      </c>
      <c r="D7" s="50">
        <f>DCF!$D$18/(1+$B7)^1+DCF!$E$18/(1+$B7)^2+DCF!$F$18/(1+$B7)^3+DCF!$G$18/(1+$B7)^4+DCF!$H$18/(1+$B7)^5+(DCF!$C$25-DCF!$C$26*(1+D$5))*(1+D$5)/(($B7-D$5)*(1+$B7)^5)</f>
        <v>1536.195033862328</v>
      </c>
      <c r="E7" s="50">
        <f>DCF!$D$18/(1+$B7)^1+DCF!$E$18/(1+$B7)^2+DCF!$F$18/(1+$B7)^3+DCF!$G$18/(1+$B7)^4+DCF!$H$18/(1+$B7)^5+(DCF!$C$25-DCF!$C$26*(1+E$5))*(1+E$5)/(($B7-E$5)*(1+$B7)^5)</f>
        <v>1646.6589234413734</v>
      </c>
      <c r="F7" s="50">
        <f>DCF!$D$18/(1+$B7)^1+DCF!$E$18/(1+$B7)^2+DCF!$F$18/(1+$B7)^3+DCF!$G$18/(1+$B7)^4+DCF!$H$18/(1+$B7)^5+(DCF!$C$25-DCF!$C$26*(1+F$5))*(1+F$5)/(($B7-F$5)*(1+$B7)^5)</f>
        <v>1778.701522158041</v>
      </c>
      <c r="G7" s="50">
        <f>DCF!$D$18/(1+$B7)^1+DCF!$E$18/(1+$B7)^2+DCF!$F$18/(1+$B7)^3+DCF!$G$18/(1+$B7)^4+DCF!$H$18/(1+$B7)^5+(DCF!$C$25-DCF!$C$26*(1+G$5))*(1+G$5)/(($B7-G$5)*(1+$B7)^5)</f>
        <v>1939.3308005035744</v>
      </c>
    </row>
    <row r="8">
      <c r="B8" s="51">
        <f>WACC_Rate</f>
        <v>0.0811875</v>
      </c>
      <c r="C8" s="50">
        <f>DCF!$D$18/(1+$B8)^1+DCF!$E$18/(1+$B8)^2+DCF!$F$18/(1+$B8)^3+DCF!$G$18/(1+$B8)^4+DCF!$H$18/(1+$B8)^5+(DCF!$C$25-DCF!$C$26*(1+C$5))*(1+C$5)/(($B8-C$5)*(1+$B8)^5)</f>
        <v>1338.8125614944383</v>
      </c>
      <c r="D8" s="50">
        <f>DCF!$D$18/(1+$B8)^1+DCF!$E$18/(1+$B8)^2+DCF!$F$18/(1+$B8)^3+DCF!$G$18/(1+$B8)^4+DCF!$H$18/(1+$B8)^5+(DCF!$C$25-DCF!$C$26*(1+D$5))*(1+D$5)/(($B8-D$5)*(1+$B8)^5)</f>
        <v>1417.9266024611775</v>
      </c>
      <c r="E8" s="52">
        <f>DCF!$D$18/(1+$B8)^1+DCF!$E$18/(1+$B8)^2+DCF!$F$18/(1+$B8)^3+DCF!$G$18/(1+$B8)^4+DCF!$H$18/(1+$B8)^5+(DCF!$C$25-DCF!$C$26*(1+E$5))*(1+E$5)/(($B8-E$5)*(1+$B8)^5)</f>
        <v>1509.9691580978003</v>
      </c>
      <c r="F8" s="50">
        <f>DCF!$D$18/(1+$B8)^1+DCF!$E$18/(1+$B8)^2+DCF!$F$18/(1+$B8)^3+DCF!$G$18/(1+$B8)^4+DCF!$H$18/(1+$B8)^5+(DCF!$C$25-DCF!$C$26*(1+F$5))*(1+F$5)/(($B8-F$5)*(1+$B8)^5)</f>
        <v>1618.391667248325</v>
      </c>
      <c r="G8" s="50">
        <f>DCF!$D$18/(1+$B8)^1+DCF!$E$18/(1+$B8)^2+DCF!$F$18/(1+$B8)^3+DCF!$G$18/(1+$B8)^4+DCF!$H$18/(1+$B8)^5+(DCF!$C$25-DCF!$C$26*(1+G$5))*(1+G$5)/(($B8-G$5)*(1+$B8)^5)</f>
        <v>1747.994116290451</v>
      </c>
    </row>
    <row r="9">
      <c r="B9" s="49">
        <f>B8+0.005</f>
        <v>0.0861875</v>
      </c>
      <c r="C9" s="50">
        <f>DCF!$D$18/(1+$B9)^1+DCF!$E$18/(1+$B9)^2+DCF!$F$18/(1+$B9)^3+DCF!$G$18/(1+$B9)^4+DCF!$H$18/(1+$B9)^5+(DCF!$C$25-DCF!$C$26*(1+C$5))*(1+C$5)/(($B9-C$5)*(1+$B9)^5)</f>
        <v>1248.8536496238776</v>
      </c>
      <c r="D9" s="50">
        <f>DCF!$D$18/(1+$B9)^1+DCF!$E$18/(1+$B9)^2+DCF!$F$18/(1+$B9)^3+DCF!$G$18/(1+$B9)^4+DCF!$H$18/(1+$B9)^5+(DCF!$C$25-DCF!$C$26*(1+D$5))*(1+D$5)/(($B9-D$5)*(1+$B9)^5)</f>
        <v>1316.3201825511278</v>
      </c>
      <c r="E9" s="50">
        <f>DCF!$D$18/(1+$B9)^1+DCF!$E$18/(1+$B9)^2+DCF!$F$18/(1+$B9)^3+DCF!$G$18/(1+$B9)^4+DCF!$H$18/(1+$B9)^5+(DCF!$C$25-DCF!$C$26*(1+E$5))*(1+E$5)/(($B9-E$5)*(1+$B9)^5)</f>
        <v>1393.9788237332302</v>
      </c>
      <c r="F9" s="50">
        <f>DCF!$D$18/(1+$B9)^1+DCF!$E$18/(1+$B9)^2+DCF!$F$18/(1+$B9)^3+DCF!$G$18/(1+$B9)^4+DCF!$H$18/(1+$B9)^5+(DCF!$C$25-DCF!$C$26*(1+F$5))*(1+F$5)/(($B9-F$5)*(1+$B9)^5)</f>
        <v>1484.3281492490046</v>
      </c>
      <c r="G9" s="50">
        <f>DCF!$D$18/(1+$B9)^1+DCF!$E$18/(1+$B9)^2+DCF!$F$18/(1+$B9)^3+DCF!$G$18/(1+$B9)^4+DCF!$H$18/(1+$B9)^5+(DCF!$C$25-DCF!$C$26*(1+G$5))*(1+G$5)/(($B9-G$5)*(1+$B9)^5)</f>
        <v>1590.7561059728466</v>
      </c>
    </row>
    <row r="10">
      <c r="B10" s="49">
        <f>B8+0.01</f>
        <v>0.09118749999999999</v>
      </c>
      <c r="C10" s="50">
        <f>DCF!$D$18/(1+$B10)^1+DCF!$E$18/(1+$B10)^2+DCF!$F$18/(1+$B10)^3+DCF!$G$18/(1+$B10)^4+DCF!$H$18/(1+$B10)^5+(DCF!$C$25-DCF!$C$26*(1+C$5))*(1+C$5)/(($B10-C$5)*(1+$B10)^5)</f>
        <v>1170.0198536662087</v>
      </c>
      <c r="D10" s="50">
        <f>DCF!$D$18/(1+$B10)^1+DCF!$E$18/(1+$B10)^2+DCF!$F$18/(1+$B10)^3+DCF!$G$18/(1+$B10)^4+DCF!$H$18/(1+$B10)^5+(DCF!$C$25-DCF!$C$26*(1+D$5))*(1+D$5)/(($B10-D$5)*(1+$B10)^5)</f>
        <v>1228.0939860703702</v>
      </c>
      <c r="E10" s="50">
        <f>DCF!$D$18/(1+$B10)^1+DCF!$E$18/(1+$B10)^2+DCF!$F$18/(1+$B10)^3+DCF!$G$18/(1+$B10)^4+DCF!$H$18/(1+$B10)^5+(DCF!$C$25-DCF!$C$26*(1+E$5))*(1+E$5)/(($B10-E$5)*(1+$B10)^5)</f>
        <v>1294.3249980706696</v>
      </c>
      <c r="F10" s="50">
        <f>DCF!$D$18/(1+$B10)^1+DCF!$E$18/(1+$B10)^2+DCF!$F$18/(1+$B10)^3+DCF!$G$18/(1+$B10)^4+DCF!$H$18/(1+$B10)^5+(DCF!$C$25-DCF!$C$26*(1+F$5))*(1+F$5)/(($B10-F$5)*(1+$B10)^5)</f>
        <v>1370.5614742781295</v>
      </c>
      <c r="G10" s="50">
        <f>DCF!$D$18/(1+$B10)^1+DCF!$E$18/(1+$B10)^2+DCF!$F$18/(1+$B10)^3+DCF!$G$18/(1+$B10)^4+DCF!$H$18/(1+$B10)^5+(DCF!$C$25-DCF!$C$26*(1+G$5))*(1+G$5)/(($B10-G$5)*(1+$B10)^5)</f>
        <v>1459.2562353359754</v>
      </c>
    </row>
    <row r="13">
      <c r="A13" s="4" t="inlineStr">
        <is>
          <t>Implied price per share ($) — rows: WACC, columns: terminal growth g</t>
        </is>
      </c>
      <c r="B13" s="5" t="n"/>
      <c r="C13" s="5" t="n"/>
      <c r="D13" s="5" t="n"/>
      <c r="E13" s="5" t="n"/>
      <c r="F13" s="5" t="n"/>
      <c r="G13" s="5" t="n"/>
      <c r="H13" s="5" t="n"/>
    </row>
    <row r="14">
      <c r="B14" s="46" t="inlineStr">
        <is>
          <t>WACC \ g</t>
        </is>
      </c>
      <c r="C14" s="47">
        <f>C5</f>
        <v>0.01</v>
      </c>
      <c r="D14" s="47">
        <f>D5</f>
        <v>0.015</v>
      </c>
      <c r="E14" s="47">
        <f>E5</f>
        <v>0.02</v>
      </c>
      <c r="F14" s="47">
        <f>F5</f>
        <v>0.025</v>
      </c>
      <c r="G14" s="47">
        <f>G5</f>
        <v>0.03</v>
      </c>
    </row>
    <row r="15">
      <c r="B15" s="49">
        <f>B6</f>
        <v>0.0711875</v>
      </c>
      <c r="C15" s="53">
        <f>(C6-NetDebt)/Shares</f>
        <v>8.753480422705069</v>
      </c>
      <c r="D15" s="53">
        <f>(D6-NetDebt)/Shares</f>
        <v>9.50383656871001</v>
      </c>
      <c r="E15" s="53">
        <f>(E6-NetDebt)/Shares</f>
        <v>10.40077194372094</v>
      </c>
      <c r="F15" s="53">
        <f>(F6-NetDebt)/Shares</f>
        <v>11.491890086251304</v>
      </c>
      <c r="G15" s="53">
        <f>(G6-NetDebt)/Shares</f>
        <v>12.847910061862045</v>
      </c>
    </row>
    <row r="16">
      <c r="B16" s="49">
        <f>B7</f>
        <v>0.07618749999999999</v>
      </c>
      <c r="C16" s="53">
        <f>(C7-NetDebt)/Shares</f>
        <v>7.949463296063638</v>
      </c>
      <c r="D16" s="53">
        <f>(D7-NetDebt)/Shares</f>
        <v>8.574633559082187</v>
      </c>
      <c r="E16" s="53">
        <f>(E7-NetDebt)/Shares</f>
        <v>9.311059489609157</v>
      </c>
      <c r="F16" s="53">
        <f>(F7-NetDebt)/Shares</f>
        <v>10.191343481053606</v>
      </c>
      <c r="G16" s="53">
        <f>(G7-NetDebt)/Shares</f>
        <v>11.262205336690496</v>
      </c>
    </row>
    <row r="17">
      <c r="B17" s="49">
        <f>B8</f>
        <v>0.0811875</v>
      </c>
      <c r="C17" s="53">
        <f>(C8-NetDebt)/Shares</f>
        <v>7.258750409962922</v>
      </c>
      <c r="D17" s="53">
        <f>(D8-NetDebt)/Shares</f>
        <v>7.786177349741183</v>
      </c>
      <c r="E17" s="54">
        <f>(E8-NetDebt)/Shares</f>
        <v>8.39979438731867</v>
      </c>
      <c r="F17" s="53">
        <f>(F8-NetDebt)/Shares</f>
        <v>9.122611114988832</v>
      </c>
      <c r="G17" s="53">
        <f>(G8-NetDebt)/Shares</f>
        <v>9.98662744193634</v>
      </c>
    </row>
    <row r="18">
      <c r="B18" s="49">
        <f>B9</f>
        <v>0.0861875</v>
      </c>
      <c r="C18" s="53">
        <f>(C9-NetDebt)/Shares</f>
        <v>6.659024330825851</v>
      </c>
      <c r="D18" s="53">
        <f>(D9-NetDebt)/Shares</f>
        <v>7.108801217007518</v>
      </c>
      <c r="E18" s="53">
        <f>(E9-NetDebt)/Shares</f>
        <v>7.626525491554868</v>
      </c>
      <c r="F18" s="53">
        <f>(F9-NetDebt)/Shares</f>
        <v>8.228854328326697</v>
      </c>
      <c r="G18" s="53">
        <f>(G9-NetDebt)/Shares</f>
        <v>8.938374039818978</v>
      </c>
    </row>
    <row r="19">
      <c r="B19" s="49">
        <f>B10</f>
        <v>0.09118749999999999</v>
      </c>
      <c r="C19" s="53">
        <f>(C10-NetDebt)/Shares</f>
        <v>6.133465691108058</v>
      </c>
      <c r="D19" s="53">
        <f>(D10-NetDebt)/Shares</f>
        <v>6.520626573802468</v>
      </c>
      <c r="E19" s="53">
        <f>(E10-NetDebt)/Shares</f>
        <v>6.962166653804464</v>
      </c>
      <c r="F19" s="53">
        <f>(F10-NetDebt)/Shares</f>
        <v>7.4704098285208635</v>
      </c>
      <c r="G19" s="53">
        <f>(G10-NetDebt)/Shares</f>
        <v>8.06170823557317</v>
      </c>
    </row>
    <row r="21">
      <c r="A21" s="4" t="inlineStr">
        <is>
          <t>Checks</t>
        </is>
      </c>
      <c r="B21" s="5" t="n"/>
      <c r="C21" s="5" t="n"/>
      <c r="D21" s="5" t="n"/>
      <c r="E21" s="5" t="n"/>
      <c r="F21" s="5" t="n"/>
      <c r="G21" s="5" t="n"/>
      <c r="H21" s="5" t="n"/>
    </row>
    <row r="22">
      <c r="A22" s="7" t="inlineStr">
        <is>
          <t>Check: base-case cell = DCF enterprise value (= 0)</t>
        </is>
      </c>
      <c r="C22" s="24">
        <f>E8-DCF!C37</f>
        <v>-2.2737367544323206e-13</v>
      </c>
      <c r="D22" s="25" t="str">
        <f>IF(ABS(C22)&lt;0.000001,"OK","ERROR")</f>
        <v>OK</v>
      </c>
    </row>
    <row r="23">
      <c r="A23" s="7" t="inlineStr">
        <is>
          <t>Check: base-case cell = DCF implied price (= 0)</t>
        </is>
      </c>
      <c r="C23" s="24">
        <f>E17-DCF!C42</f>
        <v>-1.7763568394002505e-15</v>
      </c>
      <c r="D23" s="25" t="str">
        <f>IF(ABS(C23)&lt;0.000001,"OK","ERROR")</f>
        <v>OK</v>
      </c>
    </row>
  </sheetData>
  <hyperlinks>
    <hyperlink ref="B2" location="'Summary'!A1"/>
    <hyperlink ref="C2" location="'DCF'!A1"/>
    <hyperlink ref="D2" location="'WACC'!A1"/>
    <hyperlink ref="E2" location="'Assumptions'!A1"/>
    <hyperlink ref="F2" location="'Sensitivity'!A1"/>
  </hyperlinks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Claude (independent agent run)</dc:creator>
  <dc:title xmlns:dc="http://purl.org/dc/elements/1.1/">BM-DCF-001 — IndustrialCo Enterprise DCF</dc:title>
  <dcterms:created xmlns:dcterms="http://purl.org/dc/terms/" xmlns:xsi="http://www.w3.org/2001/XMLSchema-instance" xsi:type="dcterms:W3CDTF">2026-06-12T15:22:37Z</dcterms:created>
  <dcterms:modified xmlns:dcterms="http://purl.org/dc/terms/" xmlns:xsi="http://www.w3.org/2001/XMLSchema-instance" xsi:type="dcterms:W3CDTF">2026-06-12T15:22:37Z</dcterms:modified>
</cp:coreProperties>
</file>