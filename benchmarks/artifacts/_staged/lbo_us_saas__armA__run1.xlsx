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Flag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OperatingModel" sheetId="5" state="visible" r:id="rId5"/>
    <sheet xmlns:r="http://schemas.openxmlformats.org/officeDocument/2006/relationships" name="DebtSchedule" sheetId="6" state="visible" r:id="rId6"/>
    <sheet xmlns:r="http://schemas.openxmlformats.org/officeDocument/2006/relationships" name="Covenants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SourcesUses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MOAT" sheetId="11" state="visible" r:id="rId11"/>
    <sheet xmlns:r="http://schemas.openxmlformats.org/officeDocument/2006/relationships" name="ComplianceCheck" sheetId="12" state="visible" r:id="rId12"/>
    <sheet xmlns:r="http://schemas.openxmlformats.org/officeDocument/2006/relationships" name="SensitivityAnalysis" sheetId="13" state="visible" r:id="rId13"/>
    <sheet xmlns:r="http://schemas.openxmlformats.org/officeDocument/2006/relationships" name="MonteCarlo" sheetId="14" state="visible" r:id="rId14"/>
    <sheet xmlns:r="http://schemas.openxmlformats.org/officeDocument/2006/relationships" name="Reproducibility" sheetId="15" state="visible" r:id="rId15"/>
  </sheets>
  <definedNames>
    <definedName name="scenario_index">'Cover'!$C$17</definedName>
    <definedName name="revenue_growth_y1">'Assumptions'!$I$6</definedName>
    <definedName name="revenue_growth_y2">'Assumptions'!$I$7</definedName>
    <definedName name="revenue_growth_y3">'Assumptions'!$I$8</definedName>
    <definedName name="revenue_growth_y4">'Assumptions'!$I$9</definedName>
    <definedName name="revenue_growth_y5">'Assumptions'!$I$10</definedName>
    <definedName name="revenue_growth_y6">'Assumptions'!$I$11</definedName>
    <definedName name="revenue_growth_y7">'Assumptions'!$I$12</definedName>
    <definedName name="ebitda_margin_y1">'Assumptions'!$I$13</definedName>
    <definedName name="ebitda_margin_y2">'Assumptions'!$I$14</definedName>
    <definedName name="ebitda_margin_y3">'Assumptions'!$I$15</definedName>
    <definedName name="ebitda_margin_y4">'Assumptions'!$I$16</definedName>
    <definedName name="ebitda_margin_y5">'Assumptions'!$I$17</definedName>
    <definedName name="ebitda_margin_y6">'Assumptions'!$I$18</definedName>
    <definedName name="ebitda_margin_y7">'Assumptions'!$I$19</definedName>
    <definedName name="da_pct_revenue">'Assumptions'!$I$20</definedName>
    <definedName name="maintenance_capex_pct_revenue">'Assumptions'!$I$21</definedName>
    <definedName name="growth_capex_pct_revenue">'Assumptions'!$I$22</definedName>
    <definedName name="nwc_pct_revenue_delta">'Assumptions'!$I$23</definedName>
    <definedName name="effective_tax_rate">'Assumptions'!$I$24</definedName>
    <definedName name="senior_tl_amount">'Assumptions'!$I$25</definedName>
    <definedName name="senior_tl_margin_bps">'Assumptions'!$I$26</definedName>
    <definedName name="senior_tl_floor">'Assumptions'!$I$27</definedName>
    <definedName name="senior_tl_arrangement_fee">'Assumptions'!$I$28</definedName>
    <definedName name="senior_tl_commitment_fee">'Assumptions'!$I$29</definedName>
    <definedName name="senior_tl_oid">'Assumptions'!$I$30</definedName>
    <definedName name="sofr_rate">'Assumptions'!$I$31</definedName>
    <definedName name="mezz_amount">'Assumptions'!$I$32</definedName>
    <definedName name="mezz_margin_bps">'Assumptions'!$I$33</definedName>
    <definedName name="mezz_floor">'Assumptions'!$I$34</definedName>
    <definedName name="mezz_arrangement_fee">'Assumptions'!$I$35</definedName>
    <definedName name="mezz_commitment_fee">'Assumptions'!$I$36</definedName>
    <definedName name="mezz_oid">'Assumptions'!$I$37</definedName>
    <definedName name="sofr_rate_mezz">'Assumptions'!$I$38</definedName>
    <definedName name="leverage_threshold_y1">'Assumptions'!$I$39</definedName>
    <definedName name="leverage_threshold_y2">'Assumptions'!$I$40</definedName>
    <definedName name="leverage_threshold_y3">'Assumptions'!$I$41</definedName>
    <definedName name="leverage_threshold_y4">'Assumptions'!$I$42</definedName>
    <definedName name="leverage_threshold_y5">'Assumptions'!$I$43</definedName>
    <definedName name="leverage_threshold_y6">'Assumptions'!$I$44</definedName>
    <definedName name="leverage_threshold_y7">'Assumptions'!$I$45</definedName>
    <definedName name="icr_threshold_y1">'Assumptions'!$I$46</definedName>
    <definedName name="icr_threshold_y2">'Assumptions'!$I$47</definedName>
    <definedName name="icr_threshold_y3">'Assumptions'!$I$48</definedName>
    <definedName name="icr_threshold_y4">'Assumptions'!$I$49</definedName>
    <definedName name="icr_threshold_y5">'Assumptions'!$I$50</definedName>
    <definedName name="icr_threshold_y6">'Assumptions'!$I$51</definedName>
    <definedName name="icr_threshold_y7">'Assumptions'!$I$52</definedName>
    <definedName name="legal_fees_eur_m">'Assumptions'!$I$53</definedName>
    <definedName name="advisory_fees_eur_m">'Assumptions'!$I$54</definedName>
    <definedName name="other_fees_eur_m">'Assumptions'!$I$55</definedName>
    <definedName name="expected_hold_years">'Assumptions'!$I$56</definedName>
    <definedName name="make_whole_pct">'Assumptions'!$I$57</definedName>
    <definedName name="purchase_price_eur_m">'SourcesUses'!$D$31</definedName>
    <definedName name="earnout_discount_pct">'SourcesUses'!$D$64</definedName>
    <definedName name="recap_target_leverage">'SourcesUses'!$D$70</definedName>
    <definedName name="recap_sponsor_share_pct">'SourcesUses'!$D$71</definedName>
    <definedName name="exit_year_input">'SourcesUses'!$D$74</definedName>
    <definedName name="pik_coupon_pct">'SourcesUses'!$D$114</definedName>
    <definedName name="historical_ebitda_lfy">'SourcesUses'!$Z$1</definedName>
    <definedName name="aif_leverage_cap_open">'ComplianceCheck'!$D$7</definedName>
    <definedName name="aif_leverage_cap_closed">'ComplianceCheck'!$D$8</definedName>
    <definedName name="aif_actual_leverage">'ComplianceCheck'!$D$10</definedName>
    <definedName name="aif_largest_single_borrower_pct_nav">'ComplianceCheck'!$D$13</definedName>
    <definedName name="aif_single_borrower_cap">'ComplianceCheck'!$D$14</definedName>
    <definedName name="tax_ires_rate">'ComplianceCheck'!$D$51</definedName>
    <definedName name="tax_irap_rate">'ComplianceCheck'!$D$52</definedName>
    <definedName name="primary_output">'Returns'!$D$31</definedName>
    <definedName name="sensitivity_shock_1">'SensitivityAnalysis'!$C$20</definedName>
    <definedName name="sensitivity_shock_2">'SensitivityAnalysis'!$D$20</definedName>
    <definedName name="sensitivity_shock_3">'SensitivityAnalysis'!$E$20</definedName>
    <definedName name="sensitivity_shock_4">'SensitivityAnalysis'!$F$20</definedName>
    <definedName name="sensitivity_shock_5">'SensitivityAnalysis'!$G$20</definedName>
    <definedName name="mc_vol">'MonteCarlo'!$B$9</definedName>
    <definedName name="mf_spec_sha256">'Reproducibility'!$B$5</definedName>
    <definedName name="mf_version">'Reproducibility'!$B$6</definedName>
    <definedName name="mf_python_version">'Reproducibility'!$B$7</definedName>
    <definedName name="mf_build_timestamp">'Reproducibility'!$B$8</definedName>
    <definedName name="mf_spec_source">'Reproducibility'!$B$9</definedName>
    <definedName name="_xlnm.Print_Titles" localSheetId="0">'RedFlags'!$7:$7</definedName>
    <definedName name="_xlnm.Print_Titles" localSheetId="1">'Cover'!$1:$2</definedName>
    <definedName name="_xlnm.Print_Titles" localSheetId="2">'Sources'!$4:$5</definedName>
    <definedName name="_xlnm.Print_Titles" localSheetId="3">'Assumptions'!$5:$5</definedName>
    <definedName name="_xlnm.Print_Titles" localSheetId="4">'OperatingModel'!$5:$5,'OperatingModel'!$A:$C</definedName>
    <definedName name="_xlnm.Print_Titles" localSheetId="5">'DebtSchedule'!$5:$5,'DebtSchedule'!$A:$C</definedName>
    <definedName name="_xlnm.Print_Titles" localSheetId="6">'Covenants'!$5:$5,'Covenants'!$A:$C</definedName>
    <definedName name="_xlnm.Print_Titles" localSheetId="7">'Returns'!$5:$5,'Returns'!$A:$C</definedName>
    <definedName name="_xlnm.Print_Titles" localSheetId="8">'SourcesUses'!$1:$4</definedName>
    <definedName name="_xlnm.Print_Titles" localSheetId="9">'QC'!$4:$6,'QC'!$A:$C</definedName>
    <definedName name="_xlnm.Print_Titles" localSheetId="11">'ComplianceCheck'!$1:$4</definedName>
    <definedName name="_xlnm.Print_Titles" localSheetId="12">'SensitivityAnalysis'!$9:$9,'SensitivityAnalysis'!$A:$C</definedName>
    <definedName name="_xlnm.Print_Titles" localSheetId="13">'MonteCarlo'!$17:$17</definedName>
    <definedName name="_xlnm.Print_Titles" localSheetId="14">'Reproducibility'!$1:$3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11">
    <numFmt numFmtId="164" formatCode="dd-mmm-yyyy"/>
    <numFmt numFmtId="165" formatCode="#,##0;[Red](#,##0);-"/>
    <numFmt numFmtId="166" formatCode="0.0%;[Red](0.0%);0.0%"/>
    <numFmt numFmtId="167" formatCode="_(* #,##0.0_);[Red]_(* (#,##0.0);_(* &quot;-&quot;??_);_(@_)"/>
    <numFmt numFmtId="168" formatCode="#,##0&quot; bps&quot;;[Red](#,##0&quot; bps&quot;)"/>
    <numFmt numFmtId="169" formatCode="0.00&quot;x&quot;;[Red](0.00&quot;x&quot;);&quot;-&quot;"/>
    <numFmt numFmtId="170" formatCode="0.0&quot; y&quot;"/>
    <numFmt numFmtId="171" formatCode="0.00%;[Red](0.00%);0.00%"/>
    <numFmt numFmtId="172" formatCode="0.0"/>
    <numFmt numFmtId="173" formatCode="_(* #,##0_);[Red]_(* (#,##0);_(* &quot;-&quot;??_);_(@_)"/>
    <numFmt numFmtId="174" formatCode="_(* #,##0.00_);[Red]_(* (#,##0.00);_(* &quot;-&quot;??_);_(@_)"/>
  </numFmts>
  <fonts count="2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b val="1"/>
      <color rgb="00008000"/>
      <sz val="10"/>
    </font>
    <font>
      <name val="Calibri"/>
      <i val="1"/>
      <color rgb="00555555"/>
      <sz val="10"/>
    </font>
    <font>
      <name val="Calibri"/>
      <b val="1"/>
      <color rgb="00006100"/>
      <sz val="10"/>
    </font>
    <font>
      <name val="Calibri"/>
      <b val="1"/>
      <color rgb="007F6000"/>
      <sz val="10"/>
    </font>
    <font>
      <name val="Calibri"/>
      <b val="1"/>
      <color rgb="00555555"/>
      <sz val="10"/>
    </font>
    <font>
      <name val="Calibri"/>
      <i val="1"/>
      <color rgb="00888888"/>
      <sz val="9"/>
    </font>
    <font>
      <name val="Calibri"/>
      <color rgb="00006100"/>
      <sz val="10"/>
    </font>
    <font>
      <name val="Calibri"/>
      <b val="1"/>
      <i val="1"/>
      <color rgb="00006100"/>
      <sz val="10"/>
    </font>
    <font>
      <name val="Calibri"/>
      <b val="1"/>
      <i val="1"/>
      <color rgb="009C5700"/>
      <sz val="10"/>
    </font>
    <font>
      <name val="Calibri"/>
      <i val="1"/>
      <color rgb="00595959"/>
      <sz val="10"/>
    </font>
    <font>
      <name val="Consolas"/>
      <sz val="10"/>
    </font>
    <font>
      <name val="Calibri"/>
      <b val="1"/>
      <strike val="0"/>
      <color rgb="00000000"/>
      <sz val="10"/>
    </font>
    <font>
      <name val="Calibri"/>
      <strike val="0"/>
      <color rgb="00000000"/>
      <sz val="11"/>
    </font>
    <font>
      <b val="1"/>
      <color rgb="00000000"/>
      <sz val="14"/>
    </font>
    <font>
      <sz val="10"/>
    </font>
    <font>
      <b val="1"/>
      <sz val="10"/>
    </font>
    <font>
      <b val="1"/>
      <color rgb="0000B050"/>
    </font>
    <font>
      <b val="1"/>
      <sz val="14"/>
    </font>
    <font>
      <name val="Calibri"/>
      <strike val="0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bottom style="thin">
        <color rgb="00808080"/>
      </bottom>
    </border>
    <border>
      <top style="medium">
        <color rgb="00000000"/>
      </top>
      <bottom style="medium">
        <color rgb="00000000"/>
      </bottom>
    </border>
    <border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0" pivotButton="0" quotePrefix="0" xfId="0"/>
    <xf numFmtId="0" fontId="0" fillId="2" borderId="0" pivotButton="0" quotePrefix="0" xfId="0"/>
    <xf numFmtId="165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0" fillId="4" borderId="0" pivotButton="0" quotePrefix="0" xfId="0"/>
    <xf numFmtId="166" fontId="6" fillId="4" borderId="0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167" fontId="6" fillId="4" borderId="0" applyAlignment="1" pivotButton="0" quotePrefix="0" xfId="0">
      <alignment horizontal="right" vertical="center"/>
    </xf>
    <xf numFmtId="167" fontId="15" fillId="4" borderId="0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167" fontId="5" fillId="4" borderId="3" applyAlignment="1" pivotButton="0" quotePrefix="0" xfId="0">
      <alignment horizontal="right" vertical="center"/>
    </xf>
    <xf numFmtId="167" fontId="5" fillId="0" borderId="3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0" fillId="0" borderId="0" pivotButton="0" quotePrefix="0" xfId="0"/>
    <xf numFmtId="169" fontId="15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171" fontId="5" fillId="0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173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0" fontId="7" fillId="3" borderId="0" pivotButton="0" quotePrefix="0" xfId="0"/>
    <xf numFmtId="165" fontId="5" fillId="5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6" borderId="0" pivotButton="0" quotePrefix="0" xfId="0"/>
    <xf numFmtId="174" fontId="18" fillId="6" borderId="0" applyAlignment="1" pivotButton="0" quotePrefix="0" xfId="0">
      <alignment horizontal="right" vertical="center"/>
    </xf>
    <xf numFmtId="165" fontId="18" fillId="6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49" fontId="20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horizontal="right" vertical="center"/>
    </xf>
    <xf numFmtId="167" fontId="20" fillId="0" borderId="0" applyAlignment="1" pivotButton="0" quotePrefix="0" xfId="0">
      <alignment horizontal="right" vertical="center"/>
    </xf>
    <xf numFmtId="168" fontId="20" fillId="0" borderId="0" applyAlignment="1" pivotButton="0" quotePrefix="0" xfId="0">
      <alignment horizontal="right" vertical="center"/>
    </xf>
    <xf numFmtId="169" fontId="20" fillId="0" borderId="0" applyAlignment="1" pivotButton="0" quotePrefix="0" xfId="0">
      <alignment horizontal="right" vertical="center"/>
    </xf>
    <xf numFmtId="170" fontId="20" fillId="0" borderId="0" applyAlignment="1" pivotButton="0" quotePrefix="0" xfId="0">
      <alignment horizontal="right" vertical="center"/>
    </xf>
    <xf numFmtId="49" fontId="7" fillId="3" borderId="0" applyAlignment="1" pivotButton="0" quotePrefix="0" xfId="0">
      <alignment horizontal="center" vertical="center"/>
    </xf>
    <xf numFmtId="167" fontId="20" fillId="4" borderId="3" applyAlignment="1" pivotButton="0" quotePrefix="0" xfId="0">
      <alignment horizontal="right" vertical="center"/>
    </xf>
    <xf numFmtId="167" fontId="20" fillId="0" borderId="3" applyAlignment="1" pivotButton="0" quotePrefix="0" xfId="0">
      <alignment horizontal="right" vertical="center"/>
    </xf>
    <xf numFmtId="167" fontId="2" fillId="0" borderId="0" pivotButton="0" quotePrefix="0" xfId="0"/>
    <xf numFmtId="167" fontId="21" fillId="0" borderId="0" pivotButton="0" quotePrefix="0" xfId="0"/>
    <xf numFmtId="165" fontId="15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right" vertical="center"/>
    </xf>
    <xf numFmtId="171" fontId="20" fillId="0" borderId="0" applyAlignment="1" pivotButton="0" quotePrefix="0" xfId="0">
      <alignment horizontal="right" vertical="center"/>
    </xf>
    <xf numFmtId="165" fontId="21" fillId="0" borderId="0" pivotButton="0" quotePrefix="0" xfId="0"/>
    <xf numFmtId="167" fontId="7" fillId="3" borderId="2" applyAlignment="1" pivotButton="0" quotePrefix="0" xfId="0">
      <alignment horizontal="center" vertical="center"/>
    </xf>
    <xf numFmtId="165" fontId="20" fillId="5" borderId="4" applyAlignment="1" pivotButton="0" quotePrefix="0" xfId="0">
      <alignment horizontal="center" vertical="center"/>
    </xf>
    <xf numFmtId="49" fontId="20" fillId="0" borderId="0" applyAlignment="1" pivotButton="0" quotePrefix="0" xfId="0">
      <alignment horizontal="right" vertical="center"/>
    </xf>
    <xf numFmtId="165" fontId="20" fillId="0" borderId="0" pivotButton="0" quotePrefix="0" xfId="0"/>
    <xf numFmtId="174" fontId="6" fillId="0" borderId="0" applyAlignment="1" pivotButton="0" quotePrefix="0" xfId="0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0" borderId="5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pivotButton="0" quotePrefix="0" xfId="0"/>
    <xf numFmtId="0" fontId="24" fillId="5" borderId="0" pivotButton="0" quotePrefix="0" xfId="0"/>
    <xf numFmtId="0" fontId="24" fillId="0" borderId="5" pivotButton="0" quotePrefix="0" xfId="0"/>
    <xf numFmtId="0" fontId="23" fillId="7" borderId="5" applyAlignment="1" pivotButton="0" quotePrefix="0" xfId="0">
      <alignment vertical="top" wrapText="1"/>
    </xf>
    <xf numFmtId="0" fontId="23" fillId="5" borderId="5" applyAlignment="1" pivotButton="0" quotePrefix="0" xfId="0">
      <alignment vertical="top" wrapText="1"/>
    </xf>
    <xf numFmtId="0" fontId="23" fillId="0" borderId="5" applyAlignment="1" pivotButton="0" quotePrefix="0" xfId="0">
      <alignment vertical="top" wrapText="1"/>
    </xf>
    <xf numFmtId="165" fontId="27" fillId="0" borderId="5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name val="Calibri"/>
        <b val="1"/>
        <color rgb="00FFFFFF"/>
        <sz val="11"/>
      </font>
      <fill>
        <patternFill patternType="solid">
          <fgColor rgb="009C0006"/>
        </patternFill>
      </fill>
    </dxf>
    <dxf>
      <font>
        <name val="Calibri"/>
        <b val="1"/>
        <color rgb="00FFFFFF"/>
        <sz val="11"/>
      </font>
      <fill>
        <patternFill patternType="solid">
          <fgColor rgb="001F3864"/>
        </patternFill>
      </fill>
    </dxf>
    <dxf>
      <font>
        <name val="Calibri"/>
        <b val="1"/>
        <color rgb="00FFFFFF"/>
        <sz val="11"/>
      </font>
      <fill>
        <patternFill patternType="solid">
          <fgColor rgb="00006100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— Blended Lender IRR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'SensitivityAnalysis'!J9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'SensitivityAnalysis'!$B$10:$B$14</f>
            </numRef>
          </cat>
          <val>
            <numRef>
              <f>'SensitivityAnalysis'!$J$10:$J$14</f>
            </numRef>
          </val>
        </ser>
        <ser>
          <idx val="1"/>
          <order val="1"/>
          <tx>
            <strRef>
              <f>'SensitivityAnalysis'!K9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'SensitivityAnalysis'!$B$10:$B$14</f>
            </numRef>
          </cat>
          <val>
            <numRef>
              <f>'SensitivityAnalysis'!$K$10:$K$14</f>
            </numRef>
          </val>
        </ser>
        <dLbls>
          <showVal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(% points)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— Δ Blended Lender IRR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'MonteCarlo'!C30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'MonteCarlo'!$A$31:$A$60</f>
            </numRef>
          </cat>
          <val>
            <numRef>
              <f>'MonteCarlo'!$C$31:$C$60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output (fractional)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ModelForge</author>
  </authors>
  <commentList>
    <comment ref="G6" authorId="0" shapeId="0">
      <text>
        <t>A-001
Source: S-001
(see Sources!A6)
Confidence: H
Rationale: Frozen benchmark input per brief BM-LBO-001.</t>
      </text>
    </comment>
    <comment ref="G7" authorId="0" shapeId="0">
      <text>
        <t>A-002
Source: S-001
(see Sources!A6)
Confidence: H
Rationale: Frozen benchmark input per brief BM-LBO-001.</t>
      </text>
    </comment>
    <comment ref="G8" authorId="0" shapeId="0">
      <text>
        <t>A-003
Source: S-001
(see Sources!A6)
Confidence: H
Rationale: Frozen benchmark input per brief BM-LBO-001.</t>
      </text>
    </comment>
    <comment ref="G9" authorId="0" shapeId="0">
      <text>
        <t>A-004
Source: S-001
(see Sources!A6)
Confidence: H
Rationale: Frozen benchmark input per brief BM-LBO-001.</t>
      </text>
    </comment>
    <comment ref="G10" authorId="0" shapeId="0">
      <text>
        <t>A-005
Source: S-001
(see Sources!A6)
Confidence: H
Rationale: Frozen benchmark input per brief BM-LBO-001.</t>
      </text>
    </comment>
    <comment ref="G11" authorId="0" shapeId="0">
      <text>
        <t>A-006
Source: S-001
(see Sources!A6)
Confidence: M
Rationale: Post-hold convergence (display only — exit at year 5).</t>
      </text>
    </comment>
    <comment ref="G12" authorId="0" shapeId="0">
      <text>
        <t>A-007
Source: S-001
(see Sources!A6)
Confidence: M
Rationale: Post-hold convergence (display only — exit at year 5).</t>
      </text>
    </comment>
    <comment ref="G13" authorId="0" shapeId="0">
      <text>
        <t>A-011
Source: S-001
(see Sources!A6)
Confidence: H
Rationale: Frozen benchmark input per brief BM-LBO-001.</t>
      </text>
    </comment>
    <comment ref="G14" authorId="0" shapeId="0">
      <text>
        <t>A-012
Source: S-001
(see Sources!A6)
Confidence: H
Rationale: Frozen benchmark input per brief BM-LBO-001.</t>
      </text>
    </comment>
    <comment ref="G15" authorId="0" shapeId="0">
      <text>
        <t>A-013
Source: S-001
(see Sources!A6)
Confidence: H
Rationale: Frozen benchmark input per brief BM-LBO-001.</t>
      </text>
    </comment>
    <comment ref="G16" authorId="0" shapeId="0">
      <text>
        <t>A-014
Source: S-001
(see Sources!A6)
Confidence: H
Rationale: Frozen benchmark input per brief BM-LBO-001.</t>
      </text>
    </comment>
    <comment ref="G17" authorId="0" shapeId="0">
      <text>
        <t>A-015
Source: S-001
(see Sources!A6)
Confidence: H
Rationale: Frozen benchmark input per brief BM-LBO-001.</t>
      </text>
    </comment>
    <comment ref="G18" authorId="0" shapeId="0">
      <text>
        <t>A-016
Source: S-001
(see Sources!A6)
Confidence: M
Rationale: Post-hold steady state (display only — exit at year 5).</t>
      </text>
    </comment>
    <comment ref="G19" authorId="0" shapeId="0">
      <text>
        <t>A-017
Source: S-001
(see Sources!A6)
Confidence: M
Rationale: Post-hold steady state (display only — exit at year 5).</t>
      </text>
    </comment>
    <comment ref="G20" authorId="0" shapeId="0">
      <text>
        <t>A-020
Source: S-001
(see Sources!A6)
Confidence: H
Rationale: Frozen benchmark input per brief BM-LBO-001.</t>
      </text>
    </comment>
    <comment ref="G21" authorId="0" shapeId="0">
      <text>
        <t>A-021
Source: S-001
(see Sources!A6)
Confidence: H
Rationale: Frozen benchmark input per brief BM-LBO-001.</t>
      </text>
    </comment>
    <comment ref="G22" authorId="0" shapeId="0">
      <text>
        <t>A-022
Source: S-001
(see Sources!A6)
Confidence: H
Rationale: Frozen benchmark input per brief BM-LBO-001.</t>
      </text>
    </comment>
    <comment ref="G23" authorId="0" shapeId="0">
      <text>
        <t>A-023
Source: S-001
(see Sources!A6)
Confidence: H
Rationale: Frozen benchmark input per brief BM-LBO-001.</t>
      </text>
    </comment>
    <comment ref="G24" authorId="0" shapeId="0">
      <text>
        <t>A-024
Source: S-001
(see Sources!A6)
Confidence: H
Rationale: Frozen benchmark input per brief BM-LBO-001.</t>
      </text>
    </comment>
    <comment ref="G25" authorId="0" shapeId="0">
      <text>
        <t>A-031
Source: S-001
(see Sources!A6)
Confidence: H
Rationale: 4.5x entry EBITDA of 35.0 per brief BM-LBO-001.</t>
      </text>
    </comment>
    <comment ref="G26" authorId="0" shapeId="0">
      <text>
        <t>A-032
Source: S-001
(see Sources!A6)
Confidence: H
Rationale: Frozen benchmark input per brief BM-LBO-001 (all-in 7.50%).</t>
      </text>
    </comment>
    <comment ref="G27" authorId="0" shapeId="0">
      <text>
        <t>A-033
Source: S-001
(see Sources!A6)
Confidence: H
Rationale: No floor per brief BM-LBO-001.</t>
      </text>
    </comment>
    <comment ref="G28" authorId="0" shapeId="0">
      <text>
        <t>A-034
Source: S-001
(see Sources!A6)
Confidence: H
Rationale: All financing fees carried in the single financing-fee line per brief BM-LBO-001.</t>
      </text>
    </comment>
    <comment ref="G29" authorId="0" shapeId="0">
      <text>
        <t>A-035
Source: S-001
(see Sources!A6)
Confidence: H
Rationale: Fully drawn at close per brief BM-LBO-001.</t>
      </text>
    </comment>
    <comment ref="G30" authorId="0" shapeId="0">
      <text>
        <t>A-036
Source: S-001
(see Sources!A6)
Confidence: H
Rationale: No OID per brief BM-LBO-001.</t>
      </text>
    </comment>
    <comment ref="G31" authorId="0" shapeId="0">
      <text>
        <t>A-030
Source: S-001
(see Sources!A6)
Confidence: H
Rationale: Frozen benchmark input per brief BM-LBO-001.</t>
      </text>
    </comment>
    <comment ref="G32" authorId="0" shapeId="0">
      <text>
        <t>A-041
Source: S-001
(see Sources!A6)
Confidence: H
Rationale: 1.0x entry EBITDA of 35.0 per brief BM-LBO-001.</t>
      </text>
    </comment>
    <comment ref="G33" authorId="0" shapeId="0">
      <text>
        <t>A-042
Source: S-001
(see Sources!A6)
Confidence: H
Rationale: Frozen benchmark input per brief BM-LBO-001 (all-in 11.00%).</t>
      </text>
    </comment>
    <comment ref="G34" authorId="0" shapeId="0">
      <text>
        <t>A-043
Source: S-001
(see Sources!A6)
Confidence: H
Rationale: No floor per brief BM-LBO-001.</t>
      </text>
    </comment>
    <comment ref="G35" authorId="0" shapeId="0">
      <text>
        <t>A-044
Source: S-001
(see Sources!A6)
Confidence: H
Rationale: All financing fees carried in the single financing-fee line per brief BM-LBO-001.</t>
      </text>
    </comment>
    <comment ref="G36" authorId="0" shapeId="0">
      <text>
        <t>A-045
Source: S-001
(see Sources!A6)
Confidence: H
Rationale: Fully drawn at close per brief BM-LBO-001.</t>
      </text>
    </comment>
    <comment ref="G37" authorId="0" shapeId="0">
      <text>
        <t>A-046
Source: S-001
(see Sources!A6)
Confidence: H
Rationale: No OID per brief BM-LBO-001.</t>
      </text>
    </comment>
    <comment ref="G38" authorId="0" shapeId="0">
      <text>
        <t>A-040
Source: S-001
(see Sources!A6)
Confidence: H
Rationale: Frozen benchmark input per brief BM-LBO-001.</t>
      </text>
    </comment>
    <comment ref="G39" authorId="0" shapeId="0">
      <text>
        <t>A-050
Source: S-001
(see Sources!A6)
Confidence: H
Rationale: Frozen benchmark covenant per brief BM-LBO-001.</t>
      </text>
    </comment>
    <comment ref="G40" authorId="0" shapeId="0">
      <text>
        <t>A-051
Source: S-001
(see Sources!A6)
Confidence: H
Rationale: Frozen benchmark covenant per brief BM-LBO-001.</t>
      </text>
    </comment>
    <comment ref="G41" authorId="0" shapeId="0">
      <text>
        <t>A-052
Source: S-001
(see Sources!A6)
Confidence: H
Rationale: Frozen benchmark covenant per brief BM-LBO-001.</t>
      </text>
    </comment>
    <comment ref="G42" authorId="0" shapeId="0">
      <text>
        <t>A-053
Source: S-001
(see Sources!A6)
Confidence: H
Rationale: Frozen benchmark covenant per brief BM-LBO-001.</t>
      </text>
    </comment>
    <comment ref="G43" authorId="0" shapeId="0">
      <text>
        <t>A-054
Source: S-001
(see Sources!A6)
Confidence: H
Rationale: Frozen benchmark covenant per brief BM-LBO-001.</t>
      </text>
    </comment>
    <comment ref="G44" authorId="0" shapeId="0">
      <text>
        <t>A-055
Source: S-001
(see Sources!A6)
Confidence: H
Rationale: Frozen benchmark covenant per brief BM-LBO-001.</t>
      </text>
    </comment>
    <comment ref="G45" authorId="0" shapeId="0">
      <text>
        <t>A-056
Source: S-001
(see Sources!A6)
Confidence: H
Rationale: Frozen benchmark covenant per brief BM-LBO-001.</t>
      </text>
    </comment>
    <comment ref="G46" authorId="0" shapeId="0">
      <text>
        <t>A-060
Source: S-001
(see Sources!A6)
Confidence: H
Rationale: Frozen benchmark covenant per brief BM-LBO-001.</t>
      </text>
    </comment>
    <comment ref="G47" authorId="0" shapeId="0">
      <text>
        <t>A-061
Source: S-001
(see Sources!A6)
Confidence: H
Rationale: Frozen benchmark covenant per brief BM-LBO-001.</t>
      </text>
    </comment>
    <comment ref="G48" authorId="0" shapeId="0">
      <text>
        <t>A-062
Source: S-001
(see Sources!A6)
Confidence: H
Rationale: Frozen benchmark covenant per brief BM-LBO-001.</t>
      </text>
    </comment>
    <comment ref="G49" authorId="0" shapeId="0">
      <text>
        <t>A-063
Source: S-001
(see Sources!A6)
Confidence: H
Rationale: Frozen benchmark covenant per brief BM-LBO-001.</t>
      </text>
    </comment>
    <comment ref="G50" authorId="0" shapeId="0">
      <text>
        <t>A-064
Source: S-001
(see Sources!A6)
Confidence: H
Rationale: Frozen benchmark covenant per brief BM-LBO-001.</t>
      </text>
    </comment>
    <comment ref="G51" authorId="0" shapeId="0">
      <text>
        <t>A-065
Source: S-001
(see Sources!A6)
Confidence: H
Rationale: Frozen benchmark covenant per brief BM-LBO-001.</t>
      </text>
    </comment>
    <comment ref="G52" authorId="0" shapeId="0">
      <text>
        <t>A-066
Source: S-001
(see Sources!A6)
Confidence: H
Rationale: Frozen benchmark covenant per brief BM-LBO-001.</t>
      </text>
    </comment>
    <comment ref="G53" authorId="0" shapeId="0">
      <text>
        <t>A-070
Source: S-001
(see Sources!A6)
Confidence: H
Rationale: Carried inside the M&amp;A advisory fee line per brief BM-LBO-001.</t>
      </text>
    </comment>
    <comment ref="G54" authorId="0" shapeId="0">
      <text>
        <t>A-071
Source: S-001
(see Sources!A6)
Confidence: H
Rationale: Carried inside the M&amp;A advisory fee line per brief BM-LBO-001.</t>
      </text>
    </comment>
    <comment ref="G55" authorId="0" shapeId="0">
      <text>
        <t>A-072
Source: S-001
(see Sources!A6)
Confidence: H
Rationale: Carried inside the M&amp;A advisory fee line per brief BM-LBO-001.</t>
      </text>
    </comment>
    <comment ref="G56" authorId="0" shapeId="0">
      <text>
        <t>A-080
Source: S-001
(see Sources!A6)
Confidence: H
Rationale: Frozen benchmark input per brief BM-LBO-001.</t>
      </text>
    </comment>
    <comment ref="G57" authorId="0" shapeId="0">
      <text>
        <t>A-081
Source: S-001
(see Sources!A6)
Confidence: H
Rationale: Not exercised — sponsor exits at year 5 per brief BM-LBO-001.</t>
      </text>
    </comment>
  </commentList>
</comments>
</file>

<file path=xl/comments/comment2.xml><?xml version="1.0" encoding="utf-8"?>
<comments xmlns="http://schemas.openxmlformats.org/spreadsheetml/2006/main">
  <authors>
    <author>ModelForge</author>
  </authors>
  <commentList>
    <comment ref="D9" authorId="0" shapeId="0">
      <text>
        <t>Historical actual.
Source: S-001</t>
      </text>
    </comment>
    <comment ref="E9" authorId="0" shapeId="0">
      <text>
        <t>Historical actual.
Source: S-001</t>
      </text>
    </comment>
    <comment ref="F9" authorId="0" shapeId="0">
      <text>
        <t>Historical actual.
Source: S-001</t>
      </text>
    </comment>
    <comment ref="D13" authorId="0" shapeId="0">
      <text>
        <t>Historical actual.
Source: S-001</t>
      </text>
    </comment>
    <comment ref="E13" authorId="0" shapeId="0">
      <text>
        <t>Historical actual.
Source: S-001</t>
      </text>
    </comment>
    <comment ref="F13" authorId="0" shapeId="0">
      <text>
        <t>Historical actual.
Source: S-001</t>
      </text>
    </comment>
  </commentList>
</comments>
</file>

<file path=xl/comments/comment3.xml><?xml version="1.0" encoding="utf-8"?>
<comments xmlns="http://schemas.openxmlformats.org/spreadsheetml/2006/main">
  <authors>
    <author>ModelForge</author>
  </authors>
  <commentList>
    <comment ref="C23" authorId="0" shapeId="0">
      <text>
        <t>FCCR = (EBITDA − capex) / (cash interest + mandatory amort + tax). Typical trigger 1.10-1.25× for mid-market sponsor deals.</t>
      </text>
    </comment>
  </commentList>
</comments>
</file>

<file path=xl/comments/comment4.xml><?xml version="1.0" encoding="utf-8"?>
<comments xmlns="http://schemas.openxmlformats.org/spreadsheetml/2006/main">
  <authors>
    <author>ModelForge</author>
  </authors>
  <commentList>
    <comment ref="D20" authorId="0" shapeId="0">
      <text>
        <t>IFRS 9 Effective Interest Rate: the rate that exactly discounts estimated future cash payments to the gross carrying amount. Includes all fees integral to the instrument (arrangement fee, OID). Per IFRS 9 §B5.4.1.</t>
      </text>
    </comment>
    <comment ref="D26" authorId="0" shapeId="0">
      <text>
        <t>IFRS 9 Effective Interest Rate: the rate that exactly discounts estimated future cash payments to the gross carrying amount. Includes all fees integral to the instrument (arrangement fee, OID). Per IFRS 9 §B5.4.1.</t>
      </text>
    </comment>
  </commentList>
</comments>
</file>

<file path=xl/comments/comment5.xml><?xml version="1.0" encoding="utf-8"?>
<comments xmlns="http://schemas.openxmlformats.org/spreadsheetml/2006/main">
  <authors>
    <author>ModelForge</author>
  </authors>
  <commentList>
    <comment ref="D10" authorId="0" shapeId="0">
      <text>
        <t>Sponsor new-money equity is the S&amp;U balancing plug: Total Uses − debt drawn (senior+mezz+RCF) − management rollover. This guarantees Sources = Uses by construction (standard LBO structuring).</t>
      </text>
    </comment>
    <comment ref="D22" authorId="0" shapeId="0">
      <text>
        <t>S&amp;U must balance. Non-zero means sponsor equity or debt quantum is misstated. Default TL/mezz sizing can be inverted via reverse-solve hurdle block below.</t>
      </text>
    </comment>
    <comment ref="D41" authorId="0" shapeId="0">
      <text>
        <t>Goodwill = Purchase Equity − BV Equity − Write-ups + DTL (ASC 805 / IFRS 3). Not deductible under GAAP/IFRS; annual impairment testing rather than amortization.</t>
      </text>
    </comment>
    <comment ref="D65" authorId="0" shapeId="0">
      <text>
        <t>Earnout / CVR accretion through P&amp;L per IFRS 3.58: contingent consideration at FV unwinds at the discount rate each period. Total accretion over life = FV × ((1+disc)^year − 1).</t>
      </text>
    </comment>
    <comment ref="D115" authorId="0" shapeId="0">
      <text>
        <t>PIK compound accrual: principal × (1+pik_coupon_pct)^exit_year. Coupon named range pik_coupon_pct is editable. Assumes PIK coupon rolls into principal each period.</t>
      </text>
    </comment>
    <comment ref="D116" authorId="0" shapeId="0">
      <text>
        <t>Dividend recap distribution = IF(recap enabled, target_leverage × projected recap-year EBITDA − debt outstanding at recap, 0). New debt is issued up to target leverage on the GROWN (projected) EBITDA at the recap date; proceeds net of the debt being refinanced fund the sponsor distribution. Simplified: assumes no refinance fees (add via financing_fee_pct).</t>
      </text>
    </comment>
  </commentList>
</comments>
</file>

<file path=xl/comments/comment6.xml><?xml version="1.0" encoding="utf-8"?>
<comments xmlns="http://schemas.openxmlformats.org/spreadsheetml/2006/main">
  <authors>
    <author>ModelForge</author>
  </authors>
  <commentList>
    <comment ref="D6" authorId="0" shapeId="0">
      <text>
        <t>AIF type (open / closed). Selects which AIFMD II leverage cap applies. Override via spec.compliance.aif_type. Default: closed.</t>
      </text>
    </comment>
    <comment ref="D7" authorId="0" shapeId="0">
      <text>
        <t>AIFMD II Article 15a: open-ended AIF max 175% leverage (commitment method). Override via spec.compliance.aif_leverage_cap_open_pct.</t>
      </text>
    </comment>
    <comment ref="D8" authorId="0" shapeId="0">
      <text>
        <t>AIFMD II Article 15a: closed-ended AIF max 300% leverage (commitment method). Override via spec.compliance.aif_leverage_cap_closed_pct. Source: BCLP April 2024 transposition note.</t>
      </text>
    </comment>
    <comment ref="D9" authorId="0" shapeId="0">
      <text>
        <t>Applied cap = open-ended limit if AIF type is open, else closed-ended limit. Both bounds are the named inputs above.</t>
      </text>
    </comment>
    <comment ref="D10" authorId="0" shapeId="0">
      <text>
        <t>Actual portfolio leverage (commitment method) tested against the applied AIFMD II cap. Override via spec.compliance.actual_leverage.</t>
      </text>
    </comment>
    <comment ref="D13" authorId="0" shapeId="0">
      <text>
        <t>Largest single-borrower exposure as % of AIF NAV, tested against the concentration cap. Override via spec.compliance.largest_single_borrower_pct_nav.</t>
      </text>
    </comment>
    <comment ref="D14" authorId="0" shapeId="0">
      <text>
        <t>AIFMD II Article 15a(4): loans to a single borrower capped at 20% of AIF NAV. Override via spec.compliance.largest_borrower_cap_pct. Source: Clifford Chance guidance.</t>
      </text>
    </comment>
    <comment ref="D15" authorId="0" shapeId="0">
      <text>
        <t>AIFMD II Article 15a(4): loans to single borrower capped at 20% of AIF NAV. Source: Clifford Chance guidance.</t>
      </text>
    </comment>
    <comment ref="D19" authorId="0" shapeId="0">
      <text>
        <t>AIFMD II: AIF deemed loan-originating if &gt;50% NAV in originated loans. Must be closed-ended if origination &gt;60% NAV. Source: Linklaters / Ropes &amp; Gray.</t>
      </text>
    </comment>
    <comment ref="A42" authorId="0" shapeId="0">
      <text>
        <t>Minimum prudential backstop per Regulation (EU) 2019/630 applied to credit facilities originated from 26-Apr-2019.</t>
      </text>
    </comment>
    <comment ref="D51" authorId="0" shapeId="0">
      <text>
        <t>IRES — Italian corporate income tax. Override via spec.compliance.tax.ires_rate_pct. Default 24% (Italy 2026).</t>
      </text>
    </comment>
    <comment ref="D52" authorId="0" shapeId="0">
      <text>
        <t>IRAP — regional production tax (national base + regional add-on). Override via spec.compliance.tax.irap_rate_pct. Default 3.9% (Italy non-financial corporate base).</t>
      </text>
    </comment>
    <comment ref="D53" authorId="0" shapeId="0">
      <text>
        <t>Caveat: IRES and IRAP have DIFFERENT tax bases. IRES includes financial items; IRAP excludes them. The 'combined' rate is an APPROXIMATION for non-financial corporates. Banks / insurers pay IRAP at 4.65% + 2pp (Italian 2026 Budget Law). Source: PwC Italy Corporate Tax Summaries.</t>
      </text>
    </comment>
    <comment ref="A64" authorId="0" shapeId="0">
      <text>
        <t>Basel III/IV securitization framework per BCBS d374 (December 2014) implemented in EU via CRR Art. 254 / Reg. EU 2017/2401 + 2402 (STS). Hierarchy: SEC-IRBA &gt; SEC-ERBA &gt; SEC-SA. Output floor 72.5% of SA applicable from 2028. Sources: BIS BCBS d374; EBA technical standards; Banca d'Italia Circolare 285 Title III.</t>
      </text>
    </comment>
  </commentList>
</comments>
</file>

<file path=xl/comments/comment7.xml><?xml version="1.0" encoding="utf-8"?>
<comments xmlns="http://schemas.openxmlformats.org/spreadsheetml/2006/main">
  <authors>
    <author>ModelForge</author>
  </authors>
  <commentList>
    <comment ref="E10" authorId="0" shapeId="0">
      <text>
        <t>Low-arm fractional shock on 'revenue_growth_y1'.</t>
      </text>
    </comment>
    <comment ref="F10" authorId="0" shapeId="0">
      <text>
        <t>High-arm fractional shock on 'revenue_growth_y1'.</t>
      </text>
    </comment>
    <comment ref="G10" authorId="0" shapeId="0">
      <text>
        <t>Elasticity of Blended Lender IRR w.r.t. 'revenue_growth_y1'. Kept as a reference even when method=shadow (gives a quick cross-check against the shadow-computed delta).</t>
      </text>
    </comment>
    <comment ref="E11" authorId="0" shapeId="0">
      <text>
        <t>Low-arm fractional shock on 'ebitda_margin_y1'.</t>
      </text>
    </comment>
    <comment ref="F11" authorId="0" shapeId="0">
      <text>
        <t>High-arm fractional shock on 'ebitda_margin_y1'.</t>
      </text>
    </comment>
    <comment ref="G11" authorId="0" shapeId="0">
      <text>
        <t>Elasticity of Blended Lender IRR w.r.t. 'ebitda_margin_y1'. Kept as a reference even when method=shadow (gives a quick cross-check against the shadow-computed delta).</t>
      </text>
    </comment>
    <comment ref="E12" authorId="0" shapeId="0">
      <text>
        <t>Low-arm fractional shock on 'maintenance_capex_pct_revenue'.</t>
      </text>
    </comment>
    <comment ref="F12" authorId="0" shapeId="0">
      <text>
        <t>High-arm fractional shock on 'maintenance_capex_pct_revenue'.</t>
      </text>
    </comment>
    <comment ref="G12" authorId="0" shapeId="0">
      <text>
        <t>Elasticity of Blended Lender IRR w.r.t. 'maintenance_capex_pct_revenue'. Kept as a reference even when method=shadow (gives a quick cross-check against the shadow-computed delta).</t>
      </text>
    </comment>
    <comment ref="E13" authorId="0" shapeId="0">
      <text>
        <t>Low-arm fractional shock on 'growth_capex_pct_revenue'.</t>
      </text>
    </comment>
    <comment ref="F13" authorId="0" shapeId="0">
      <text>
        <t>High-arm fractional shock on 'growth_capex_pct_revenue'.</t>
      </text>
    </comment>
    <comment ref="G13" authorId="0" shapeId="0">
      <text>
        <t>Elasticity of Blended Lender IRR w.r.t. 'growth_capex_pct_revenue'. Kept as a reference even when method=shadow (gives a quick cross-check against the shadow-computed delta).</t>
      </text>
    </comment>
    <comment ref="E14" authorId="0" shapeId="0">
      <text>
        <t>Low-arm fractional shock on 'effective_tax_rate'.</t>
      </text>
    </comment>
    <comment ref="F14" authorId="0" shapeId="0">
      <text>
        <t>High-arm fractional shock on 'effective_tax_rate'.</t>
      </text>
    </comment>
    <comment ref="G14" authorId="0" shapeId="0">
      <text>
        <t>Elasticity of Blended Lender IRR w.r.t. 'effective_tax_rate'. Kept as a reference even when method=shadow (gives a quick cross-check against the shadow-computed delta).</t>
      </text>
    </comment>
    <comment ref="C21" authorId="0" shapeId="0">
      <text>
        <t>LIVE 2D linear-elasticity grid off primary_output + sensitivity_shock_* named ranges — recomputes on a scenario flip or shock edit.</t>
      </text>
    </comment>
  </commentList>
</comments>
</file>

<file path=xl/comments/comment8.xml><?xml version="1.0" encoding="utf-8"?>
<comments xmlns="http://schemas.openxmlformats.org/spreadsheetml/2006/main">
  <authors>
    <author>ModelForge</author>
  </authors>
  <commentList>
    <comment ref="B9" authorId="0" shapeId="0">
      <text>
        <t>LIVE volatility input for the parametric (normal-approx) band. Seeded to the sampled std (0.1185) at build time so the parametric band matches the sampled distribution at the as-built scenario. Edit it (blue input) to widen/narrow the band — P5/P50/P95 recompute live. Distinct from the frozen sampled stats below.</t>
      </text>
    </comment>
    <comment ref="B11" authorId="0" shapeId="0">
      <text>
        <t>LIVE parametric (normal-approx) statistic — native Excel formula (primary_output) off primary_output + mc_vol. Recomputes when you flip scenario_index or edit mc_vol. NOT a sampled value: it is a Gaussian approximation of the downside band, distinct from the sampled histogram below.</t>
      </text>
    </comment>
    <comment ref="B12" authorId="0" shapeId="0">
      <text>
        <t>LIVE parametric (normal-approx) statistic — native Excel formula (primary_output*(1+NORM.S.INV(0.05)*mc_vol)) off primary_output + mc_vol. Recomputes when you flip scenario_index or edit mc_vol. NOT a sampled value: it is a Gaussian approximation of the downside band, distinct from the sampled histogram below.</t>
      </text>
    </comment>
    <comment ref="B13" authorId="0" shapeId="0">
      <text>
        <t>LIVE parametric (normal-approx) statistic — native Excel formula (primary_output*(1+NORM.S.INV(0.5)*mc_vol)) off primary_output + mc_vol. Recomputes when you flip scenario_index or edit mc_vol. NOT a sampled value: it is a Gaussian approximation of the downside band, distinct from the sampled histogram below.</t>
      </text>
    </comment>
    <comment ref="B14" authorId="0" shapeId="0">
      <text>
        <t>LIVE parametric (normal-approx) statistic — native Excel formula (primary_output*(1+NORM.S.INV(0.95)*mc_vol)) off primary_output + mc_vol. Recomputes when you flip scenario_index or edit mc_vol. NOT a sampled value: it is a Gaussian approximation of the downside band, distinct from the sampled histogram below.</t>
      </text>
    </comment>
    <comment ref="B18" authorId="0" shapeId="0">
      <text>
        <t>Computed from 1,000 triangular draws across 5 factors. Seed=20260417. Method=elasticity. Δ mode=fractional. STATIC snapshot — does not recompute on scenario flip.</t>
      </text>
    </comment>
    <comment ref="B19" authorId="0" shapeId="0">
      <text>
        <t>Computed from 1,000 triangular draws across 5 factors. Seed=20260417. Method=elasticity. Δ mode=fractional. STATIC snapshot — does not recompute on scenario flip.</t>
      </text>
    </comment>
    <comment ref="B20" authorId="0" shapeId="0">
      <text>
        <t>Computed from 1,000 triangular draws across 5 factors. Seed=20260417. Method=elasticity. Δ mode=fractional. STATIC snapshot — does not recompute on scenario flip.</t>
      </text>
    </comment>
    <comment ref="B21" authorId="0" shapeId="0">
      <text>
        <t>Computed from 1,000 triangular draws across 5 factors. Seed=20260417. Method=elasticity. Δ mode=fractional. STATIC snapshot — does not recompute on scenario flip.</t>
      </text>
    </comment>
    <comment ref="B22" authorId="0" shapeId="0">
      <text>
        <t>Computed from 1,000 triangular draws across 5 factors. Seed=20260417. Method=elasticity. Δ mode=fractional. STATIC snapshot — does not recompute on scenario flip.</t>
      </text>
    </comment>
    <comment ref="B23" authorId="0" shapeId="0">
      <text>
        <t>Computed from 1,000 triangular draws across 5 factors. Seed=20260417. Method=elasticity. Δ mode=fractional. STATIC snapshot — does not recompute on scenario flip.</t>
      </text>
    </comment>
    <comment ref="B24" authorId="0" shapeId="0">
      <text>
        <t>Computed from 1,000 triangular draws across 5 factors. Seed=20260417. Method=elasticity. Δ mode=fractional. STATIC snapshot — does not recompute on scenario flip.</t>
      </text>
    </comment>
    <comment ref="B25" authorId="0" shapeId="0">
      <text>
        <t>Computed from 1,000 triangular draws across 5 factors. Seed=20260417. Method=elasticity. Δ mode=fractional. STATIC snapshot — does not recompute on scenario flip.</t>
      </text>
    </comment>
    <comment ref="B26" authorId="0" shapeId="0">
      <text>
        <t>Computed from 1,000 triangular draws across 5 factors. Seed=20260417. Method=elasticity. Δ mode=fractional. STATIC snapshot — does not recompute on scenario flip.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ources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OperatingModel'!A1" TargetMode="External" Id="rId3"/><Relationship Type="http://schemas.openxmlformats.org/officeDocument/2006/relationships/hyperlink" Target="#'DebtSchedule'!A1" TargetMode="External" Id="rId4"/><Relationship Type="http://schemas.openxmlformats.org/officeDocument/2006/relationships/hyperlink" Target="#'Covenants'!A1" TargetMode="External" Id="rId5"/><Relationship Type="http://schemas.openxmlformats.org/officeDocument/2006/relationships/hyperlink" Target="#'Returns'!A1" TargetMode="External" Id="rId6"/><Relationship Type="http://schemas.openxmlformats.org/officeDocument/2006/relationships/hyperlink" Target="#'QC'!A1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#'Sources'!A6" TargetMode="External" Id="rId1"/><Relationship Type="http://schemas.openxmlformats.org/officeDocument/2006/relationships/hyperlink" Target="#'Sources'!A6" TargetMode="External" Id="rId2"/><Relationship Type="http://schemas.openxmlformats.org/officeDocument/2006/relationships/hyperlink" Target="#'Sources'!A6" TargetMode="External" Id="rId3"/><Relationship Type="http://schemas.openxmlformats.org/officeDocument/2006/relationships/hyperlink" Target="#'Sources'!A6" TargetMode="External" Id="rId4"/><Relationship Type="http://schemas.openxmlformats.org/officeDocument/2006/relationships/hyperlink" Target="#'Sources'!A6" TargetMode="External" Id="rId5"/><Relationship Type="http://schemas.openxmlformats.org/officeDocument/2006/relationships/hyperlink" Target="#'Sources'!A6" TargetMode="External" Id="rId6"/><Relationship Type="http://schemas.openxmlformats.org/officeDocument/2006/relationships/hyperlink" Target="#'Sources'!A6" TargetMode="External" Id="rId7"/><Relationship Type="http://schemas.openxmlformats.org/officeDocument/2006/relationships/hyperlink" Target="#'Sources'!A6" TargetMode="External" Id="rId8"/><Relationship Type="http://schemas.openxmlformats.org/officeDocument/2006/relationships/hyperlink" Target="#'Sources'!A6" TargetMode="External" Id="rId9"/><Relationship Type="http://schemas.openxmlformats.org/officeDocument/2006/relationships/hyperlink" Target="#'Sources'!A6" TargetMode="External" Id="rId10"/><Relationship Type="http://schemas.openxmlformats.org/officeDocument/2006/relationships/hyperlink" Target="#'Sources'!A6" TargetMode="External" Id="rId11"/><Relationship Type="http://schemas.openxmlformats.org/officeDocument/2006/relationships/hyperlink" Target="#'Sources'!A6" TargetMode="External" Id="rId12"/><Relationship Type="http://schemas.openxmlformats.org/officeDocument/2006/relationships/hyperlink" Target="#'Sources'!A6" TargetMode="External" Id="rId13"/><Relationship Type="http://schemas.openxmlformats.org/officeDocument/2006/relationships/hyperlink" Target="#'Sources'!A6" TargetMode="External" Id="rId14"/><Relationship Type="http://schemas.openxmlformats.org/officeDocument/2006/relationships/hyperlink" Target="#'Sources'!A6" TargetMode="External" Id="rId15"/><Relationship Type="http://schemas.openxmlformats.org/officeDocument/2006/relationships/hyperlink" Target="#'Sources'!A6" TargetMode="External" Id="rId16"/><Relationship Type="http://schemas.openxmlformats.org/officeDocument/2006/relationships/hyperlink" Target="#'Sources'!A6" TargetMode="External" Id="rId17"/><Relationship Type="http://schemas.openxmlformats.org/officeDocument/2006/relationships/hyperlink" Target="#'Sources'!A6" TargetMode="External" Id="rId18"/><Relationship Type="http://schemas.openxmlformats.org/officeDocument/2006/relationships/hyperlink" Target="#'Sources'!A6" TargetMode="External" Id="rId19"/><Relationship Type="http://schemas.openxmlformats.org/officeDocument/2006/relationships/hyperlink" Target="#'Sources'!A6" TargetMode="External" Id="rId20"/><Relationship Type="http://schemas.openxmlformats.org/officeDocument/2006/relationships/hyperlink" Target="#'Sources'!A6" TargetMode="External" Id="rId21"/><Relationship Type="http://schemas.openxmlformats.org/officeDocument/2006/relationships/hyperlink" Target="#'Sources'!A6" TargetMode="External" Id="rId22"/><Relationship Type="http://schemas.openxmlformats.org/officeDocument/2006/relationships/hyperlink" Target="#'Sources'!A6" TargetMode="External" Id="rId23"/><Relationship Type="http://schemas.openxmlformats.org/officeDocument/2006/relationships/hyperlink" Target="#'Sources'!A6" TargetMode="External" Id="rId24"/><Relationship Type="http://schemas.openxmlformats.org/officeDocument/2006/relationships/hyperlink" Target="#'Sources'!A6" TargetMode="External" Id="rId25"/><Relationship Type="http://schemas.openxmlformats.org/officeDocument/2006/relationships/hyperlink" Target="#'Sources'!A6" TargetMode="External" Id="rId26"/><Relationship Type="http://schemas.openxmlformats.org/officeDocument/2006/relationships/hyperlink" Target="#'Sources'!A6" TargetMode="External" Id="rId27"/><Relationship Type="http://schemas.openxmlformats.org/officeDocument/2006/relationships/hyperlink" Target="#'Sources'!A6" TargetMode="External" Id="rId28"/><Relationship Type="http://schemas.openxmlformats.org/officeDocument/2006/relationships/hyperlink" Target="#'Sources'!A6" TargetMode="External" Id="rId29"/><Relationship Type="http://schemas.openxmlformats.org/officeDocument/2006/relationships/hyperlink" Target="#'Sources'!A6" TargetMode="External" Id="rId30"/><Relationship Type="http://schemas.openxmlformats.org/officeDocument/2006/relationships/hyperlink" Target="#'Sources'!A6" TargetMode="External" Id="rId31"/><Relationship Type="http://schemas.openxmlformats.org/officeDocument/2006/relationships/hyperlink" Target="#'Sources'!A6" TargetMode="External" Id="rId32"/><Relationship Type="http://schemas.openxmlformats.org/officeDocument/2006/relationships/hyperlink" Target="#'Sources'!A6" TargetMode="External" Id="rId33"/><Relationship Type="http://schemas.openxmlformats.org/officeDocument/2006/relationships/hyperlink" Target="#'Sources'!A6" TargetMode="External" Id="rId34"/><Relationship Type="http://schemas.openxmlformats.org/officeDocument/2006/relationships/hyperlink" Target="#'Sources'!A6" TargetMode="External" Id="rId35"/><Relationship Type="http://schemas.openxmlformats.org/officeDocument/2006/relationships/hyperlink" Target="#'Sources'!A6" TargetMode="External" Id="rId36"/><Relationship Type="http://schemas.openxmlformats.org/officeDocument/2006/relationships/hyperlink" Target="#'Sources'!A6" TargetMode="External" Id="rId37"/><Relationship Type="http://schemas.openxmlformats.org/officeDocument/2006/relationships/hyperlink" Target="#'Sources'!A6" TargetMode="External" Id="rId38"/><Relationship Type="http://schemas.openxmlformats.org/officeDocument/2006/relationships/hyperlink" Target="#'Sources'!A6" TargetMode="External" Id="rId39"/><Relationship Type="http://schemas.openxmlformats.org/officeDocument/2006/relationships/hyperlink" Target="#'Sources'!A6" TargetMode="External" Id="rId40"/><Relationship Type="http://schemas.openxmlformats.org/officeDocument/2006/relationships/hyperlink" Target="#'Sources'!A6" TargetMode="External" Id="rId41"/><Relationship Type="http://schemas.openxmlformats.org/officeDocument/2006/relationships/hyperlink" Target="#'Sources'!A6" TargetMode="External" Id="rId42"/><Relationship Type="http://schemas.openxmlformats.org/officeDocument/2006/relationships/hyperlink" Target="#'Sources'!A6" TargetMode="External" Id="rId43"/><Relationship Type="http://schemas.openxmlformats.org/officeDocument/2006/relationships/hyperlink" Target="#'Sources'!A6" TargetMode="External" Id="rId44"/><Relationship Type="http://schemas.openxmlformats.org/officeDocument/2006/relationships/hyperlink" Target="#'Sources'!A6" TargetMode="External" Id="rId45"/><Relationship Type="http://schemas.openxmlformats.org/officeDocument/2006/relationships/hyperlink" Target="#'Sources'!A6" TargetMode="External" Id="rId46"/><Relationship Type="http://schemas.openxmlformats.org/officeDocument/2006/relationships/hyperlink" Target="#'Sources'!A6" TargetMode="External" Id="rId47"/><Relationship Type="http://schemas.openxmlformats.org/officeDocument/2006/relationships/hyperlink" Target="#'Sources'!A6" TargetMode="External" Id="rId48"/><Relationship Type="http://schemas.openxmlformats.org/officeDocument/2006/relationships/hyperlink" Target="#'Sources'!A6" TargetMode="External" Id="rId49"/><Relationship Type="http://schemas.openxmlformats.org/officeDocument/2006/relationships/hyperlink" Target="#'Sources'!A6" TargetMode="External" Id="rId50"/><Relationship Type="http://schemas.openxmlformats.org/officeDocument/2006/relationships/hyperlink" Target="#'Sources'!A6" TargetMode="External" Id="rId51"/><Relationship Type="http://schemas.openxmlformats.org/officeDocument/2006/relationships/hyperlink" Target="#'Sources'!A6" TargetMode="External" Id="rId5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2" customWidth="1" min="4" max="4"/>
    <col width="14" customWidth="1" min="5" max="5"/>
    <col width="18" customWidth="1" min="6" max="6"/>
    <col width="60" customWidth="1" min="7" max="7"/>
    <col width="60" customWidth="1" min="8" max="8"/>
  </cols>
  <sheetData>
    <row r="1">
      <c r="A1" s="94" t="inlineStr">
        <is>
          <t>ModelForge Trust Layer — Red Flags</t>
        </is>
      </c>
    </row>
    <row r="2">
      <c r="A2" s="95" t="inlineStr">
        <is>
          <t>Workbook: lbo_us_saas.xlsx</t>
        </is>
      </c>
    </row>
    <row r="3">
      <c r="A3" s="95" t="inlineStr">
        <is>
          <t>Template: sponsor_lbo</t>
        </is>
      </c>
    </row>
    <row r="4">
      <c r="A4" s="96" t="inlineStr">
        <is>
          <t>Rules run: 3  •  FAIL: 0  WARN: 0  INFO: 0</t>
        </is>
      </c>
    </row>
    <row r="7">
      <c r="A7" s="97" t="inlineStr">
        <is>
          <t>#</t>
        </is>
      </c>
      <c r="B7" s="97" t="inlineStr">
        <is>
          <t>Severity</t>
        </is>
      </c>
      <c r="C7" s="97" t="inlineStr">
        <is>
          <t>Rule</t>
        </is>
      </c>
      <c r="D7" s="97" t="inlineStr">
        <is>
          <t>Cell / Anchor</t>
        </is>
      </c>
      <c r="E7" s="97" t="inlineStr">
        <is>
          <t>Actual</t>
        </is>
      </c>
      <c r="F7" s="97" t="inlineStr">
        <is>
          <t>Expected</t>
        </is>
      </c>
      <c r="G7" s="97" t="inlineStr">
        <is>
          <t>Message</t>
        </is>
      </c>
      <c r="H7" s="97" t="inlineStr">
        <is>
          <t>Recommendation</t>
        </is>
      </c>
    </row>
    <row r="8">
      <c r="B8" s="98" t="inlineStr">
        <is>
          <t>ALL CLEAR</t>
        </is>
      </c>
      <c r="C8" s="95" t="inlineStr">
        <is>
          <t>No plausibility violations triggered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SaaSCo (synthetic benchmark) — Benchmark Sponsor LBO — Generic US Enterprise SaaS (synthetic)</t>
        </is>
      </c>
      <c r="B1" s="2" t="inlineStr">
        <is>
          <t>LBO sponsor benchmark — SaaS enterprise USA generico (sintetico)</t>
        </is>
      </c>
    </row>
    <row r="2">
      <c r="A2" s="2" t="inlineStr">
        <is>
          <t>Strictly Private &amp; Confidential · FINAL · v1.0</t>
        </is>
      </c>
    </row>
    <row r="4">
      <c r="A4" s="3" t="inlineStr">
        <is>
          <t>Project code</t>
        </is>
      </c>
      <c r="B4" s="4" t="inlineStr">
        <is>
          <t>Codice progetto</t>
        </is>
      </c>
      <c r="C4" s="5" t="inlineStr">
        <is>
          <t>BM-LBO-001</t>
        </is>
      </c>
    </row>
    <row r="5">
      <c r="A5" s="3" t="inlineStr">
        <is>
          <t>Analyst</t>
        </is>
      </c>
      <c r="B5" s="4" t="inlineStr">
        <is>
          <t>Analista</t>
        </is>
      </c>
      <c r="C5" s="5" t="inlineStr">
        <is>
          <t>Benchmark</t>
        </is>
      </c>
    </row>
    <row r="6">
      <c r="A6" s="3" t="inlineStr">
        <is>
          <t>Valuation date</t>
        </is>
      </c>
      <c r="B6" s="4" t="inlineStr">
        <is>
          <t>Data valutazione</t>
        </is>
      </c>
      <c r="C6" s="6" t="inlineStr">
        <is>
          <t>2026-01-01</t>
        </is>
      </c>
    </row>
    <row r="7">
      <c r="A7" s="3" t="inlineStr">
        <is>
          <t>Version</t>
        </is>
      </c>
      <c r="B7" s="4" t="inlineStr">
        <is>
          <t>Versione</t>
        </is>
      </c>
      <c r="C7" s="5" t="inlineStr">
        <is>
          <t>v1.0</t>
        </is>
      </c>
    </row>
    <row r="8">
      <c r="A8" s="3" t="inlineStr">
        <is>
          <t>Status</t>
        </is>
      </c>
      <c r="B8" s="4" t="inlineStr">
        <is>
          <t>Stato</t>
        </is>
      </c>
      <c r="C8" s="5" t="inlineStr">
        <is>
          <t>final</t>
        </is>
      </c>
    </row>
    <row r="9">
      <c r="A9" s="3" t="inlineStr">
        <is>
          <t>Currency</t>
        </is>
      </c>
      <c r="B9" s="4" t="inlineStr">
        <is>
          <t>Valuta</t>
        </is>
      </c>
      <c r="C9" s="5" t="inlineStr">
        <is>
          <t>USD</t>
        </is>
      </c>
    </row>
    <row r="10">
      <c r="A10" s="3" t="inlineStr">
        <is>
          <t>Units</t>
        </is>
      </c>
      <c r="B10" s="4" t="inlineStr">
        <is>
          <t>Unità</t>
        </is>
      </c>
      <c r="C10" s="5" t="inlineStr">
        <is>
          <t>millions</t>
        </is>
      </c>
    </row>
    <row r="11">
      <c r="A11" s="3" t="inlineStr">
        <is>
          <t>Sign convention</t>
        </is>
      </c>
      <c r="B11" s="4" t="inlineStr">
        <is>
          <t>Convenzione di segno</t>
        </is>
      </c>
      <c r="C11" s="5" t="inlineStr">
        <is>
          <t>costs_negative</t>
        </is>
      </c>
    </row>
    <row r="12">
      <c r="A12" s="3" t="inlineStr">
        <is>
          <t>Target</t>
        </is>
      </c>
      <c r="B12" s="4" t="inlineStr">
        <is>
          <t>Target</t>
        </is>
      </c>
      <c r="C12" s="5" t="inlineStr">
        <is>
          <t>SaaSCo (synthetic benchmark)</t>
        </is>
      </c>
    </row>
    <row r="13">
      <c r="A13" s="3" t="inlineStr">
        <is>
          <t>Sector</t>
        </is>
      </c>
      <c r="B13" s="4" t="inlineStr">
        <is>
          <t>Settore</t>
        </is>
      </c>
      <c r="C13" s="5" t="inlineStr">
        <is>
          <t>Enterprise SaaS</t>
        </is>
      </c>
    </row>
    <row r="14">
      <c r="A14" s="3" t="inlineStr">
        <is>
          <t>Country</t>
        </is>
      </c>
      <c r="B14" s="4" t="inlineStr">
        <is>
          <t>Paese</t>
        </is>
      </c>
      <c r="C14" s="5" t="inlineStr">
        <is>
          <t>US</t>
        </is>
      </c>
    </row>
    <row r="16">
      <c r="A16" s="7" t="inlineStr">
        <is>
          <t>Scenario control</t>
        </is>
      </c>
      <c r="B16" s="8" t="inlineStr">
        <is>
          <t>Controllo scenari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Active scenario</t>
        </is>
      </c>
      <c r="B17" s="4" t="inlineStr">
        <is>
          <t>Scenario attivo</t>
        </is>
      </c>
      <c r="C17" s="10" t="n">
        <v>2</v>
      </c>
    </row>
    <row r="18">
      <c r="A18" s="3" t="inlineStr">
        <is>
          <t>Scenario (resolved)</t>
        </is>
      </c>
      <c r="B18" s="4" t="inlineStr">
        <is>
          <t>Scenario (attivo)</t>
        </is>
      </c>
      <c r="C18" s="74">
        <f>CHOOSE(scenario_index,"Worst","Base","Best")</f>
        <v/>
      </c>
    </row>
    <row r="20">
      <c r="A20" s="7" t="inlineStr">
        <is>
          <t>Revision log</t>
        </is>
      </c>
      <c r="B20" s="8" t="inlineStr">
        <is>
          <t>Registro revisioni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12" t="inlineStr">
        <is>
          <t>Version</t>
        </is>
      </c>
      <c r="B21" s="12" t="inlineStr">
        <is>
          <t>Date</t>
        </is>
      </c>
      <c r="C21" s="12" t="inlineStr">
        <is>
          <t>Analyst</t>
        </is>
      </c>
      <c r="D21" s="12" t="inlineStr">
        <is>
          <t>Note</t>
        </is>
      </c>
    </row>
    <row r="22">
      <c r="A22" s="13" t="inlineStr">
        <is>
          <t>v1.0</t>
        </is>
      </c>
      <c r="B22" s="6" t="inlineStr">
        <is>
          <t>2026-01-01</t>
        </is>
      </c>
      <c r="C22" s="13" t="inlineStr">
        <is>
          <t>Benchmark</t>
        </is>
      </c>
      <c r="D22" s="13" t="inlineStr">
        <is>
          <t>Frozen benchmark input — must match briefs/lbo_us_saas.md exactly.</t>
        </is>
      </c>
    </row>
    <row r="25">
      <c r="A25" s="7" t="inlineStr">
        <is>
          <t>Sheet index</t>
        </is>
      </c>
      <c r="B25" s="8" t="inlineStr">
        <is>
          <t>Indice fogli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14" t="inlineStr">
        <is>
          <t>Sources</t>
        </is>
      </c>
    </row>
    <row r="27">
      <c r="A27" s="14" t="inlineStr">
        <is>
          <t>Assumptions</t>
        </is>
      </c>
    </row>
    <row r="28">
      <c r="A28" s="14" t="inlineStr">
        <is>
          <t>OperatingModel</t>
        </is>
      </c>
    </row>
    <row r="29">
      <c r="A29" s="14" t="inlineStr">
        <is>
          <t>DebtSchedule</t>
        </is>
      </c>
    </row>
    <row r="30">
      <c r="A30" s="14" t="inlineStr">
        <is>
          <t>Covenants</t>
        </is>
      </c>
    </row>
    <row r="31">
      <c r="A31" s="14" t="inlineStr">
        <is>
          <t>Returns</t>
        </is>
      </c>
    </row>
    <row r="32">
      <c r="A32" s="14" t="inlineStr">
        <is>
          <t>QC</t>
        </is>
      </c>
    </row>
  </sheetData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</hyperlinks>
  <printOptions horizontalCentered="1"/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22" customWidth="1" min="4" max="4"/>
    <col width="12" customWidth="1" min="5" max="5"/>
    <col width="40" customWidth="1" min="6" max="6"/>
    <col width="10" customWidth="1" min="7" max="7"/>
    <col width="40" customWidth="1" min="8" max="8"/>
  </cols>
  <sheetData>
    <row r="1">
      <c r="A1" s="15" t="inlineStr">
        <is>
          <t>Sources</t>
        </is>
      </c>
    </row>
    <row r="2">
      <c r="A2" s="2" t="inlineStr">
        <is>
          <t>Fonti</t>
        </is>
      </c>
    </row>
    <row r="3">
      <c r="A3" s="2" t="inlineStr">
        <is>
          <t>Every hardcoded number in this model traces back to a row below. Comment on the cell shows the ID; look it up here.</t>
        </is>
      </c>
    </row>
    <row r="4">
      <c r="A4" s="16" t="inlineStr">
        <is>
          <t>ID fonte</t>
        </is>
      </c>
      <c r="B4" s="16" t="inlineStr">
        <is>
          <t>Documento</t>
        </is>
      </c>
      <c r="C4" s="16" t="inlineStr">
        <is>
          <t>Pagina</t>
        </is>
      </c>
      <c r="D4" s="16" t="inlineStr">
        <is>
          <t>Editore</t>
        </is>
      </c>
      <c r="E4" s="16" t="inlineStr">
        <is>
          <t>Data</t>
        </is>
      </c>
      <c r="F4" s="16" t="inlineStr">
        <is>
          <t>URL</t>
        </is>
      </c>
      <c r="G4" s="16" t="inlineStr">
        <is>
          <t>Verificato</t>
        </is>
      </c>
      <c r="H4" s="16" t="inlineStr">
        <is>
          <t>Note</t>
        </is>
      </c>
    </row>
    <row r="5">
      <c r="A5" s="12" t="inlineStr">
        <is>
          <t>Source ID</t>
        </is>
      </c>
      <c r="B5" s="12" t="inlineStr">
        <is>
          <t>Document</t>
        </is>
      </c>
      <c r="C5" s="12" t="inlineStr">
        <is>
          <t>Page</t>
        </is>
      </c>
      <c r="D5" s="12" t="inlineStr">
        <is>
          <t>Publisher</t>
        </is>
      </c>
      <c r="E5" s="12" t="inlineStr">
        <is>
          <t>Date</t>
        </is>
      </c>
      <c r="F5" s="12" t="inlineStr">
        <is>
          <t>URL</t>
        </is>
      </c>
      <c r="G5" s="12" t="inlineStr">
        <is>
          <t>Verified</t>
        </is>
      </c>
      <c r="H5" s="12" t="inlineStr">
        <is>
          <t>Note</t>
        </is>
      </c>
    </row>
    <row r="6">
      <c r="A6" s="17" t="inlineStr">
        <is>
          <t>S-001</t>
        </is>
      </c>
      <c r="B6" s="13" t="inlineStr">
        <is>
          <t>benchmarks/briefs/lbo_us_saas.md</t>
        </is>
      </c>
      <c r="C6" s="10" t="n">
        <v>1</v>
      </c>
      <c r="D6" s="13" t="inlineStr">
        <is>
          <t>ModelForge public benchmark (synthetic deal brief)</t>
        </is>
      </c>
      <c r="E6" s="6" t="inlineStr">
        <is>
          <t>2026-01-01</t>
        </is>
      </c>
      <c r="G6" s="18" t="inlineStr">
        <is>
          <t>✔</t>
        </is>
      </c>
      <c r="H6" s="13" t="inlineStr">
        <is>
          <t>All purchase-price, debt, operating and exit inputs are defined in the frozen benchmark brief.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40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48" customWidth="1" min="10" max="10"/>
    <col width="6" customWidth="1" min="11" max="11"/>
    <col width="8" customWidth="1" min="12" max="12"/>
  </cols>
  <sheetData>
    <row r="1">
      <c r="A1" s="15" t="inlineStr">
        <is>
          <t>Assumptions</t>
        </is>
      </c>
    </row>
    <row r="2">
      <c r="A2" s="2" t="inlineStr">
        <is>
          <t>Ipotesi e driver</t>
        </is>
      </c>
    </row>
    <row r="3">
      <c r="A3" s="2" t="inlineStr">
        <is>
          <t>Single source of truth. Every formula in the workbook reads the 'Active' column via named range. Change numbers here — nowhere else.</t>
        </is>
      </c>
    </row>
    <row r="5">
      <c r="A5" s="12" t="inlineStr">
        <is>
          <t>ID</t>
        </is>
      </c>
      <c r="B5" s="12" t="inlineStr">
        <is>
          <t>Driver</t>
        </is>
      </c>
      <c r="C5" s="12" t="inlineStr">
        <is>
          <t>Description</t>
        </is>
      </c>
      <c r="D5" s="12" t="inlineStr">
        <is>
          <t>Descrizione</t>
        </is>
      </c>
      <c r="E5" s="12" t="inlineStr">
        <is>
          <t>Unit</t>
        </is>
      </c>
      <c r="F5" s="12" t="inlineStr">
        <is>
          <t>Worst</t>
        </is>
      </c>
      <c r="G5" s="12" t="inlineStr">
        <is>
          <t>Base</t>
        </is>
      </c>
      <c r="H5" s="12" t="inlineStr">
        <is>
          <t>Best</t>
        </is>
      </c>
      <c r="I5" s="12" t="inlineStr">
        <is>
          <t>Active</t>
        </is>
      </c>
      <c r="J5" s="12" t="inlineStr">
        <is>
          <t>Rationale</t>
        </is>
      </c>
      <c r="K5" s="12" t="inlineStr">
        <is>
          <t>Conf.</t>
        </is>
      </c>
      <c r="L5" s="12" t="inlineStr">
        <is>
          <t>Source</t>
        </is>
      </c>
    </row>
    <row r="6">
      <c r="A6" s="17" t="inlineStr">
        <is>
          <t>A-001</t>
        </is>
      </c>
      <c r="B6" s="19" t="inlineStr">
        <is>
          <t>revenue_growth_y1</t>
        </is>
      </c>
      <c r="C6" s="3" t="inlineStr">
        <is>
          <t>Revenue growth Y1</t>
        </is>
      </c>
      <c r="D6" s="4" t="inlineStr">
        <is>
          <t>Crescita ricavi A1</t>
        </is>
      </c>
      <c r="E6" s="16" t="inlineStr">
        <is>
          <t>pct</t>
        </is>
      </c>
      <c r="F6" s="20" t="n">
        <v>0.12</v>
      </c>
      <c r="G6" s="20" t="n">
        <v>0.12</v>
      </c>
      <c r="H6" s="20" t="n">
        <v>0.12</v>
      </c>
      <c r="I6" s="75">
        <f>CHOOSE(scenario_index,F6,G6,H6)</f>
        <v/>
      </c>
      <c r="J6" s="22" t="inlineStr">
        <is>
          <t>Frozen benchmark input per brief BM-LBO-001.</t>
        </is>
      </c>
      <c r="K6" s="23" t="inlineStr">
        <is>
          <t>H</t>
        </is>
      </c>
      <c r="L6" s="24" t="inlineStr">
        <is>
          <t>S-001</t>
        </is>
      </c>
    </row>
    <row r="7">
      <c r="A7" s="17" t="inlineStr">
        <is>
          <t>A-002</t>
        </is>
      </c>
      <c r="B7" s="19" t="inlineStr">
        <is>
          <t>revenue_growth_y2</t>
        </is>
      </c>
      <c r="C7" s="3" t="inlineStr">
        <is>
          <t>Revenue growth Y2</t>
        </is>
      </c>
      <c r="D7" s="4" t="inlineStr">
        <is>
          <t>Crescita ricavi A2</t>
        </is>
      </c>
      <c r="E7" s="16" t="inlineStr">
        <is>
          <t>pct</t>
        </is>
      </c>
      <c r="F7" s="20" t="n">
        <v>0.11</v>
      </c>
      <c r="G7" s="20" t="n">
        <v>0.11</v>
      </c>
      <c r="H7" s="20" t="n">
        <v>0.11</v>
      </c>
      <c r="I7" s="75">
        <f>CHOOSE(scenario_index,F7,G7,H7)</f>
        <v/>
      </c>
      <c r="J7" s="22" t="inlineStr">
        <is>
          <t>Frozen benchmark input per brief BM-LBO-001.</t>
        </is>
      </c>
      <c r="K7" s="23" t="inlineStr">
        <is>
          <t>H</t>
        </is>
      </c>
      <c r="L7" s="24" t="inlineStr">
        <is>
          <t>S-001</t>
        </is>
      </c>
    </row>
    <row r="8">
      <c r="A8" s="17" t="inlineStr">
        <is>
          <t>A-003</t>
        </is>
      </c>
      <c r="B8" s="19" t="inlineStr">
        <is>
          <t>revenue_growth_y3</t>
        </is>
      </c>
      <c r="C8" s="3" t="inlineStr">
        <is>
          <t>Revenue growth Y3</t>
        </is>
      </c>
      <c r="D8" s="4" t="inlineStr">
        <is>
          <t>Crescita ricavi A3</t>
        </is>
      </c>
      <c r="E8" s="16" t="inlineStr">
        <is>
          <t>pct</t>
        </is>
      </c>
      <c r="F8" s="20" t="n">
        <v>0.1</v>
      </c>
      <c r="G8" s="20" t="n">
        <v>0.1</v>
      </c>
      <c r="H8" s="20" t="n">
        <v>0.1</v>
      </c>
      <c r="I8" s="75">
        <f>CHOOSE(scenario_index,F8,G8,H8)</f>
        <v/>
      </c>
      <c r="J8" s="22" t="inlineStr">
        <is>
          <t>Frozen benchmark input per brief BM-LBO-001.</t>
        </is>
      </c>
      <c r="K8" s="23" t="inlineStr">
        <is>
          <t>H</t>
        </is>
      </c>
      <c r="L8" s="24" t="inlineStr">
        <is>
          <t>S-001</t>
        </is>
      </c>
    </row>
    <row r="9">
      <c r="A9" s="17" t="inlineStr">
        <is>
          <t>A-004</t>
        </is>
      </c>
      <c r="B9" s="19" t="inlineStr">
        <is>
          <t>revenue_growth_y4</t>
        </is>
      </c>
      <c r="C9" s="3" t="inlineStr">
        <is>
          <t>Revenue growth Y4</t>
        </is>
      </c>
      <c r="D9" s="4" t="inlineStr">
        <is>
          <t>Crescita ricavi A4</t>
        </is>
      </c>
      <c r="E9" s="16" t="inlineStr">
        <is>
          <t>pct</t>
        </is>
      </c>
      <c r="F9" s="20" t="n">
        <v>0.09</v>
      </c>
      <c r="G9" s="20" t="n">
        <v>0.09</v>
      </c>
      <c r="H9" s="20" t="n">
        <v>0.09</v>
      </c>
      <c r="I9" s="75">
        <f>CHOOSE(scenario_index,F9,G9,H9)</f>
        <v/>
      </c>
      <c r="J9" s="22" t="inlineStr">
        <is>
          <t>Frozen benchmark input per brief BM-LBO-001.</t>
        </is>
      </c>
      <c r="K9" s="23" t="inlineStr">
        <is>
          <t>H</t>
        </is>
      </c>
      <c r="L9" s="24" t="inlineStr">
        <is>
          <t>S-001</t>
        </is>
      </c>
    </row>
    <row r="10">
      <c r="A10" s="17" t="inlineStr">
        <is>
          <t>A-005</t>
        </is>
      </c>
      <c r="B10" s="19" t="inlineStr">
        <is>
          <t>revenue_growth_y5</t>
        </is>
      </c>
      <c r="C10" s="3" t="inlineStr">
        <is>
          <t>Revenue growth Y5</t>
        </is>
      </c>
      <c r="D10" s="4" t="inlineStr">
        <is>
          <t>Crescita ricavi A5</t>
        </is>
      </c>
      <c r="E10" s="16" t="inlineStr">
        <is>
          <t>pct</t>
        </is>
      </c>
      <c r="F10" s="20" t="n">
        <v>0.08</v>
      </c>
      <c r="G10" s="20" t="n">
        <v>0.08</v>
      </c>
      <c r="H10" s="20" t="n">
        <v>0.08</v>
      </c>
      <c r="I10" s="75">
        <f>CHOOSE(scenario_index,F10,G10,H10)</f>
        <v/>
      </c>
      <c r="J10" s="22" t="inlineStr">
        <is>
          <t>Frozen benchmark input per brief BM-LBO-001.</t>
        </is>
      </c>
      <c r="K10" s="23" t="inlineStr">
        <is>
          <t>H</t>
        </is>
      </c>
      <c r="L10" s="24" t="inlineStr">
        <is>
          <t>S-001</t>
        </is>
      </c>
    </row>
    <row r="11">
      <c r="A11" s="17" t="inlineStr">
        <is>
          <t>A-006</t>
        </is>
      </c>
      <c r="B11" s="19" t="inlineStr">
        <is>
          <t>revenue_growth_y6</t>
        </is>
      </c>
      <c r="C11" s="3" t="inlineStr">
        <is>
          <t>Revenue growth Y6</t>
        </is>
      </c>
      <c r="D11" s="4" t="inlineStr">
        <is>
          <t>Crescita ricavi A6</t>
        </is>
      </c>
      <c r="E11" s="16" t="inlineStr">
        <is>
          <t>pct</t>
        </is>
      </c>
      <c r="F11" s="20" t="n">
        <v>0.07000000000000001</v>
      </c>
      <c r="G11" s="20" t="n">
        <v>0.07000000000000001</v>
      </c>
      <c r="H11" s="20" t="n">
        <v>0.07000000000000001</v>
      </c>
      <c r="I11" s="75">
        <f>CHOOSE(scenario_index,F11,G11,H11)</f>
        <v/>
      </c>
      <c r="J11" s="22" t="inlineStr">
        <is>
          <t>Post-hold convergence (display only — exit at year 5).</t>
        </is>
      </c>
      <c r="K11" s="25" t="inlineStr">
        <is>
          <t>M</t>
        </is>
      </c>
      <c r="L11" s="24" t="inlineStr">
        <is>
          <t>S-001</t>
        </is>
      </c>
    </row>
    <row r="12">
      <c r="A12" s="17" t="inlineStr">
        <is>
          <t>A-007</t>
        </is>
      </c>
      <c r="B12" s="19" t="inlineStr">
        <is>
          <t>revenue_growth_y7</t>
        </is>
      </c>
      <c r="C12" s="3" t="inlineStr">
        <is>
          <t>Revenue growth Y7</t>
        </is>
      </c>
      <c r="D12" s="4" t="inlineStr">
        <is>
          <t>Crescita ricavi A7</t>
        </is>
      </c>
      <c r="E12" s="16" t="inlineStr">
        <is>
          <t>pct</t>
        </is>
      </c>
      <c r="F12" s="20" t="n">
        <v>0.06</v>
      </c>
      <c r="G12" s="20" t="n">
        <v>0.06</v>
      </c>
      <c r="H12" s="20" t="n">
        <v>0.06</v>
      </c>
      <c r="I12" s="75">
        <f>CHOOSE(scenario_index,F12,G12,H12)</f>
        <v/>
      </c>
      <c r="J12" s="22" t="inlineStr">
        <is>
          <t>Post-hold convergence (display only — exit at year 5).</t>
        </is>
      </c>
      <c r="K12" s="25" t="inlineStr">
        <is>
          <t>M</t>
        </is>
      </c>
      <c r="L12" s="24" t="inlineStr">
        <is>
          <t>S-001</t>
        </is>
      </c>
    </row>
    <row r="13">
      <c r="A13" s="17" t="inlineStr">
        <is>
          <t>A-011</t>
        </is>
      </c>
      <c r="B13" s="19" t="inlineStr">
        <is>
          <t>ebitda_margin_y1</t>
        </is>
      </c>
      <c r="C13" s="3" t="inlineStr">
        <is>
          <t>EBITDA margin Y1</t>
        </is>
      </c>
      <c r="D13" s="4" t="inlineStr">
        <is>
          <t>Margine EBITDA A1</t>
        </is>
      </c>
      <c r="E13" s="16" t="inlineStr">
        <is>
          <t>pct</t>
        </is>
      </c>
      <c r="F13" s="20" t="n">
        <v>0.35</v>
      </c>
      <c r="G13" s="20" t="n">
        <v>0.35</v>
      </c>
      <c r="H13" s="20" t="n">
        <v>0.35</v>
      </c>
      <c r="I13" s="75">
        <f>CHOOSE(scenario_index,F13,G13,H13)</f>
        <v/>
      </c>
      <c r="J13" s="22" t="inlineStr">
        <is>
          <t>Frozen benchmark input per brief BM-LBO-001.</t>
        </is>
      </c>
      <c r="K13" s="23" t="inlineStr">
        <is>
          <t>H</t>
        </is>
      </c>
      <c r="L13" s="24" t="inlineStr">
        <is>
          <t>S-001</t>
        </is>
      </c>
    </row>
    <row r="14">
      <c r="A14" s="17" t="inlineStr">
        <is>
          <t>A-012</t>
        </is>
      </c>
      <c r="B14" s="19" t="inlineStr">
        <is>
          <t>ebitda_margin_y2</t>
        </is>
      </c>
      <c r="C14" s="3" t="inlineStr">
        <is>
          <t>EBITDA margin Y2</t>
        </is>
      </c>
      <c r="D14" s="4" t="inlineStr">
        <is>
          <t>Margine EBITDA A2</t>
        </is>
      </c>
      <c r="E14" s="16" t="inlineStr">
        <is>
          <t>pct</t>
        </is>
      </c>
      <c r="F14" s="20" t="n">
        <v>0.36</v>
      </c>
      <c r="G14" s="20" t="n">
        <v>0.36</v>
      </c>
      <c r="H14" s="20" t="n">
        <v>0.36</v>
      </c>
      <c r="I14" s="75">
        <f>CHOOSE(scenario_index,F14,G14,H14)</f>
        <v/>
      </c>
      <c r="J14" s="22" t="inlineStr">
        <is>
          <t>Frozen benchmark input per brief BM-LBO-001.</t>
        </is>
      </c>
      <c r="K14" s="23" t="inlineStr">
        <is>
          <t>H</t>
        </is>
      </c>
      <c r="L14" s="24" t="inlineStr">
        <is>
          <t>S-001</t>
        </is>
      </c>
    </row>
    <row r="15">
      <c r="A15" s="17" t="inlineStr">
        <is>
          <t>A-013</t>
        </is>
      </c>
      <c r="B15" s="19" t="inlineStr">
        <is>
          <t>ebitda_margin_y3</t>
        </is>
      </c>
      <c r="C15" s="3" t="inlineStr">
        <is>
          <t>EBITDA margin Y3</t>
        </is>
      </c>
      <c r="D15" s="4" t="inlineStr">
        <is>
          <t>Margine EBITDA A3</t>
        </is>
      </c>
      <c r="E15" s="16" t="inlineStr">
        <is>
          <t>pct</t>
        </is>
      </c>
      <c r="F15" s="20" t="n">
        <v>0.36</v>
      </c>
      <c r="G15" s="20" t="n">
        <v>0.36</v>
      </c>
      <c r="H15" s="20" t="n">
        <v>0.36</v>
      </c>
      <c r="I15" s="75">
        <f>CHOOSE(scenario_index,F15,G15,H15)</f>
        <v/>
      </c>
      <c r="J15" s="22" t="inlineStr">
        <is>
          <t>Frozen benchmark input per brief BM-LBO-001.</t>
        </is>
      </c>
      <c r="K15" s="23" t="inlineStr">
        <is>
          <t>H</t>
        </is>
      </c>
      <c r="L15" s="24" t="inlineStr">
        <is>
          <t>S-001</t>
        </is>
      </c>
    </row>
    <row r="16">
      <c r="A16" s="17" t="inlineStr">
        <is>
          <t>A-014</t>
        </is>
      </c>
      <c r="B16" s="19" t="inlineStr">
        <is>
          <t>ebitda_margin_y4</t>
        </is>
      </c>
      <c r="C16" s="3" t="inlineStr">
        <is>
          <t>EBITDA margin Y4</t>
        </is>
      </c>
      <c r="D16" s="4" t="inlineStr">
        <is>
          <t>Margine EBITDA A4</t>
        </is>
      </c>
      <c r="E16" s="16" t="inlineStr">
        <is>
          <t>pct</t>
        </is>
      </c>
      <c r="F16" s="20" t="n">
        <v>0.37</v>
      </c>
      <c r="G16" s="20" t="n">
        <v>0.37</v>
      </c>
      <c r="H16" s="20" t="n">
        <v>0.37</v>
      </c>
      <c r="I16" s="75">
        <f>CHOOSE(scenario_index,F16,G16,H16)</f>
        <v/>
      </c>
      <c r="J16" s="22" t="inlineStr">
        <is>
          <t>Frozen benchmark input per brief BM-LBO-001.</t>
        </is>
      </c>
      <c r="K16" s="23" t="inlineStr">
        <is>
          <t>H</t>
        </is>
      </c>
      <c r="L16" s="24" t="inlineStr">
        <is>
          <t>S-001</t>
        </is>
      </c>
    </row>
    <row r="17">
      <c r="A17" s="17" t="inlineStr">
        <is>
          <t>A-015</t>
        </is>
      </c>
      <c r="B17" s="19" t="inlineStr">
        <is>
          <t>ebitda_margin_y5</t>
        </is>
      </c>
      <c r="C17" s="3" t="inlineStr">
        <is>
          <t>EBITDA margin Y5</t>
        </is>
      </c>
      <c r="D17" s="4" t="inlineStr">
        <is>
          <t>Margine EBITDA A5</t>
        </is>
      </c>
      <c r="E17" s="16" t="inlineStr">
        <is>
          <t>pct</t>
        </is>
      </c>
      <c r="F17" s="20" t="n">
        <v>0.38</v>
      </c>
      <c r="G17" s="20" t="n">
        <v>0.38</v>
      </c>
      <c r="H17" s="20" t="n">
        <v>0.38</v>
      </c>
      <c r="I17" s="75">
        <f>CHOOSE(scenario_index,F17,G17,H17)</f>
        <v/>
      </c>
      <c r="J17" s="22" t="inlineStr">
        <is>
          <t>Frozen benchmark input per brief BM-LBO-001.</t>
        </is>
      </c>
      <c r="K17" s="23" t="inlineStr">
        <is>
          <t>H</t>
        </is>
      </c>
      <c r="L17" s="24" t="inlineStr">
        <is>
          <t>S-001</t>
        </is>
      </c>
    </row>
    <row r="18">
      <c r="A18" s="17" t="inlineStr">
        <is>
          <t>A-016</t>
        </is>
      </c>
      <c r="B18" s="19" t="inlineStr">
        <is>
          <t>ebitda_margin_y6</t>
        </is>
      </c>
      <c r="C18" s="3" t="inlineStr">
        <is>
          <t>EBITDA margin Y6</t>
        </is>
      </c>
      <c r="D18" s="4" t="inlineStr">
        <is>
          <t>Margine EBITDA A6</t>
        </is>
      </c>
      <c r="E18" s="16" t="inlineStr">
        <is>
          <t>pct</t>
        </is>
      </c>
      <c r="F18" s="20" t="n">
        <v>0.38</v>
      </c>
      <c r="G18" s="20" t="n">
        <v>0.38</v>
      </c>
      <c r="H18" s="20" t="n">
        <v>0.38</v>
      </c>
      <c r="I18" s="75">
        <f>CHOOSE(scenario_index,F18,G18,H18)</f>
        <v/>
      </c>
      <c r="J18" s="22" t="inlineStr">
        <is>
          <t>Post-hold steady state (display only — exit at year 5).</t>
        </is>
      </c>
      <c r="K18" s="25" t="inlineStr">
        <is>
          <t>M</t>
        </is>
      </c>
      <c r="L18" s="24" t="inlineStr">
        <is>
          <t>S-001</t>
        </is>
      </c>
    </row>
    <row r="19">
      <c r="A19" s="17" t="inlineStr">
        <is>
          <t>A-017</t>
        </is>
      </c>
      <c r="B19" s="19" t="inlineStr">
        <is>
          <t>ebitda_margin_y7</t>
        </is>
      </c>
      <c r="C19" s="3" t="inlineStr">
        <is>
          <t>EBITDA margin Y7</t>
        </is>
      </c>
      <c r="D19" s="4" t="inlineStr">
        <is>
          <t>Margine EBITDA A7</t>
        </is>
      </c>
      <c r="E19" s="16" t="inlineStr">
        <is>
          <t>pct</t>
        </is>
      </c>
      <c r="F19" s="20" t="n">
        <v>0.38</v>
      </c>
      <c r="G19" s="20" t="n">
        <v>0.38</v>
      </c>
      <c r="H19" s="20" t="n">
        <v>0.38</v>
      </c>
      <c r="I19" s="75">
        <f>CHOOSE(scenario_index,F19,G19,H19)</f>
        <v/>
      </c>
      <c r="J19" s="22" t="inlineStr">
        <is>
          <t>Post-hold steady state (display only — exit at year 5).</t>
        </is>
      </c>
      <c r="K19" s="25" t="inlineStr">
        <is>
          <t>M</t>
        </is>
      </c>
      <c r="L19" s="24" t="inlineStr">
        <is>
          <t>S-001</t>
        </is>
      </c>
    </row>
    <row r="20">
      <c r="A20" s="17" t="inlineStr">
        <is>
          <t>A-020</t>
        </is>
      </c>
      <c r="B20" s="19" t="inlineStr">
        <is>
          <t>da_pct_revenue</t>
        </is>
      </c>
      <c r="C20" s="3" t="inlineStr">
        <is>
          <t>D&amp;A % revenue</t>
        </is>
      </c>
      <c r="D20" s="4" t="inlineStr">
        <is>
          <t>Ammortamenti % ricavi</t>
        </is>
      </c>
      <c r="E20" s="16" t="inlineStr">
        <is>
          <t>pct</t>
        </is>
      </c>
      <c r="F20" s="20" t="n">
        <v>0.04</v>
      </c>
      <c r="G20" s="20" t="n">
        <v>0.04</v>
      </c>
      <c r="H20" s="20" t="n">
        <v>0.04</v>
      </c>
      <c r="I20" s="75">
        <f>CHOOSE(scenario_index,F20,G20,H20)</f>
        <v/>
      </c>
      <c r="J20" s="22" t="inlineStr">
        <is>
          <t>Frozen benchmark input per brief BM-LBO-001.</t>
        </is>
      </c>
      <c r="K20" s="23" t="inlineStr">
        <is>
          <t>H</t>
        </is>
      </c>
      <c r="L20" s="24" t="inlineStr">
        <is>
          <t>S-001</t>
        </is>
      </c>
    </row>
    <row r="21">
      <c r="A21" s="17" t="inlineStr">
        <is>
          <t>A-021</t>
        </is>
      </c>
      <c r="B21" s="19" t="inlineStr">
        <is>
          <t>maintenance_capex_pct_revenue</t>
        </is>
      </c>
      <c r="C21" s="3" t="inlineStr">
        <is>
          <t>Maintenance capex % revenue</t>
        </is>
      </c>
      <c r="D21" s="4" t="inlineStr">
        <is>
          <t>Capex manutenzione % ricavi</t>
        </is>
      </c>
      <c r="E21" s="16" t="inlineStr">
        <is>
          <t>pct</t>
        </is>
      </c>
      <c r="F21" s="20" t="n">
        <v>0.03</v>
      </c>
      <c r="G21" s="20" t="n">
        <v>0.03</v>
      </c>
      <c r="H21" s="20" t="n">
        <v>0.03</v>
      </c>
      <c r="I21" s="75">
        <f>CHOOSE(scenario_index,F21,G21,H21)</f>
        <v/>
      </c>
      <c r="J21" s="22" t="inlineStr">
        <is>
          <t>Frozen benchmark input per brief BM-LBO-001.</t>
        </is>
      </c>
      <c r="K21" s="23" t="inlineStr">
        <is>
          <t>H</t>
        </is>
      </c>
      <c r="L21" s="24" t="inlineStr">
        <is>
          <t>S-001</t>
        </is>
      </c>
    </row>
    <row r="22">
      <c r="A22" s="17" t="inlineStr">
        <is>
          <t>A-022</t>
        </is>
      </c>
      <c r="B22" s="19" t="inlineStr">
        <is>
          <t>growth_capex_pct_revenue</t>
        </is>
      </c>
      <c r="C22" s="3" t="inlineStr">
        <is>
          <t>Growth capex % revenue</t>
        </is>
      </c>
      <c r="D22" s="4" t="inlineStr">
        <is>
          <t>Capex crescita % ricavi</t>
        </is>
      </c>
      <c r="E22" s="16" t="inlineStr">
        <is>
          <t>pct</t>
        </is>
      </c>
      <c r="F22" s="20" t="n">
        <v>0.01</v>
      </c>
      <c r="G22" s="20" t="n">
        <v>0.01</v>
      </c>
      <c r="H22" s="20" t="n">
        <v>0.01</v>
      </c>
      <c r="I22" s="75">
        <f>CHOOSE(scenario_index,F22,G22,H22)</f>
        <v/>
      </c>
      <c r="J22" s="22" t="inlineStr">
        <is>
          <t>Frozen benchmark input per brief BM-LBO-001.</t>
        </is>
      </c>
      <c r="K22" s="23" t="inlineStr">
        <is>
          <t>H</t>
        </is>
      </c>
      <c r="L22" s="24" t="inlineStr">
        <is>
          <t>S-001</t>
        </is>
      </c>
    </row>
    <row r="23">
      <c r="A23" s="17" t="inlineStr">
        <is>
          <t>A-023</t>
        </is>
      </c>
      <c r="B23" s="19" t="inlineStr">
        <is>
          <t>nwc_pct_revenue_delta</t>
        </is>
      </c>
      <c r="C23" s="3" t="inlineStr">
        <is>
          <t>dNWC % dRevenue</t>
        </is>
      </c>
      <c r="D23" s="4" t="inlineStr">
        <is>
          <t>dCCN % dRicavi</t>
        </is>
      </c>
      <c r="E23" s="16" t="inlineStr">
        <is>
          <t>pct</t>
        </is>
      </c>
      <c r="F23" s="20" t="n">
        <v>0.05</v>
      </c>
      <c r="G23" s="20" t="n">
        <v>0.05</v>
      </c>
      <c r="H23" s="20" t="n">
        <v>0.05</v>
      </c>
      <c r="I23" s="75">
        <f>CHOOSE(scenario_index,F23,G23,H23)</f>
        <v/>
      </c>
      <c r="J23" s="22" t="inlineStr">
        <is>
          <t>Frozen benchmark input per brief BM-LBO-001.</t>
        </is>
      </c>
      <c r="K23" s="23" t="inlineStr">
        <is>
          <t>H</t>
        </is>
      </c>
      <c r="L23" s="24" t="inlineStr">
        <is>
          <t>S-001</t>
        </is>
      </c>
    </row>
    <row r="24">
      <c r="A24" s="17" t="inlineStr">
        <is>
          <t>A-024</t>
        </is>
      </c>
      <c r="B24" s="19" t="inlineStr">
        <is>
          <t>effective_tax_rate</t>
        </is>
      </c>
      <c r="C24" s="3" t="inlineStr">
        <is>
          <t>Effective tax rate</t>
        </is>
      </c>
      <c r="D24" s="4" t="inlineStr">
        <is>
          <t>Aliquota effettiva</t>
        </is>
      </c>
      <c r="E24" s="16" t="inlineStr">
        <is>
          <t>pct</t>
        </is>
      </c>
      <c r="F24" s="20" t="n">
        <v>0.25</v>
      </c>
      <c r="G24" s="20" t="n">
        <v>0.25</v>
      </c>
      <c r="H24" s="20" t="n">
        <v>0.25</v>
      </c>
      <c r="I24" s="75">
        <f>CHOOSE(scenario_index,F24,G24,H24)</f>
        <v/>
      </c>
      <c r="J24" s="22" t="inlineStr">
        <is>
          <t>Frozen benchmark input per brief BM-LBO-001.</t>
        </is>
      </c>
      <c r="K24" s="23" t="inlineStr">
        <is>
          <t>H</t>
        </is>
      </c>
      <c r="L24" s="24" t="inlineStr">
        <is>
          <t>S-001</t>
        </is>
      </c>
    </row>
    <row r="25">
      <c r="A25" s="17" t="inlineStr">
        <is>
          <t>A-031</t>
        </is>
      </c>
      <c r="B25" s="19" t="inlineStr">
        <is>
          <t>senior_tl_amount</t>
        </is>
      </c>
      <c r="C25" s="3" t="inlineStr">
        <is>
          <t>Senior Term Loan amount</t>
        </is>
      </c>
      <c r="D25" s="4" t="inlineStr">
        <is>
          <t>Importo Term Loan Senior</t>
        </is>
      </c>
      <c r="E25" s="16" t="inlineStr">
        <is>
          <t>eur_m</t>
        </is>
      </c>
      <c r="F25" s="26" t="n">
        <v>157.5</v>
      </c>
      <c r="G25" s="26" t="n">
        <v>157.5</v>
      </c>
      <c r="H25" s="26" t="n">
        <v>157.5</v>
      </c>
      <c r="I25" s="76">
        <f>CHOOSE(scenario_index,F25,G25,H25)</f>
        <v/>
      </c>
      <c r="J25" s="22" t="inlineStr">
        <is>
          <t>4.5x entry EBITDA of 35.0 per brief BM-LBO-001.</t>
        </is>
      </c>
      <c r="K25" s="23" t="inlineStr">
        <is>
          <t>H</t>
        </is>
      </c>
      <c r="L25" s="24" t="inlineStr">
        <is>
          <t>S-001</t>
        </is>
      </c>
    </row>
    <row r="26">
      <c r="A26" s="17" t="inlineStr">
        <is>
          <t>A-032</t>
        </is>
      </c>
      <c r="B26" s="19" t="inlineStr">
        <is>
          <t>senior_tl_margin_bps</t>
        </is>
      </c>
      <c r="C26" s="3" t="inlineStr">
        <is>
          <t>Senior margin (bps)</t>
        </is>
      </c>
      <c r="D26" s="4" t="inlineStr">
        <is>
          <t>Margine senior (bps)</t>
        </is>
      </c>
      <c r="E26" s="16" t="inlineStr">
        <is>
          <t>bps</t>
        </is>
      </c>
      <c r="F26" s="28" t="n">
        <v>350</v>
      </c>
      <c r="G26" s="28" t="n">
        <v>350</v>
      </c>
      <c r="H26" s="28" t="n">
        <v>350</v>
      </c>
      <c r="I26" s="77">
        <f>CHOOSE(scenario_index,F26,G26,H26)</f>
        <v/>
      </c>
      <c r="J26" s="22" t="inlineStr">
        <is>
          <t>Frozen benchmark input per brief BM-LBO-001 (all-in 7.50%).</t>
        </is>
      </c>
      <c r="K26" s="23" t="inlineStr">
        <is>
          <t>H</t>
        </is>
      </c>
      <c r="L26" s="24" t="inlineStr">
        <is>
          <t>S-001</t>
        </is>
      </c>
    </row>
    <row r="27">
      <c r="A27" s="17" t="inlineStr">
        <is>
          <t>A-033</t>
        </is>
      </c>
      <c r="B27" s="19" t="inlineStr">
        <is>
          <t>senior_tl_floor</t>
        </is>
      </c>
      <c r="C27" s="3" t="inlineStr">
        <is>
          <t>SOFR floor (senior)</t>
        </is>
      </c>
      <c r="D27" s="4" t="inlineStr">
        <is>
          <t>Floor SOFR (senior)</t>
        </is>
      </c>
      <c r="E27" s="16" t="inlineStr">
        <is>
          <t>pct</t>
        </is>
      </c>
      <c r="F27" s="20" t="n">
        <v>0</v>
      </c>
      <c r="G27" s="20" t="n">
        <v>0</v>
      </c>
      <c r="H27" s="20" t="n">
        <v>0</v>
      </c>
      <c r="I27" s="75">
        <f>CHOOSE(scenario_index,F27,G27,H27)</f>
        <v/>
      </c>
      <c r="J27" s="22" t="inlineStr">
        <is>
          <t>No floor per brief BM-LBO-001.</t>
        </is>
      </c>
      <c r="K27" s="23" t="inlineStr">
        <is>
          <t>H</t>
        </is>
      </c>
      <c r="L27" s="24" t="inlineStr">
        <is>
          <t>S-001</t>
        </is>
      </c>
    </row>
    <row r="28">
      <c r="A28" s="17" t="inlineStr">
        <is>
          <t>A-034</t>
        </is>
      </c>
      <c r="B28" s="19" t="inlineStr">
        <is>
          <t>senior_tl_arrangement_fee</t>
        </is>
      </c>
      <c r="C28" s="3" t="inlineStr">
        <is>
          <t>Arrangement fee % (senior)</t>
        </is>
      </c>
      <c r="D28" s="4" t="inlineStr">
        <is>
          <t>Commissione strutturazione % (senior)</t>
        </is>
      </c>
      <c r="E28" s="16" t="inlineStr">
        <is>
          <t>pct</t>
        </is>
      </c>
      <c r="F28" s="20" t="n">
        <v>0</v>
      </c>
      <c r="G28" s="20" t="n">
        <v>0</v>
      </c>
      <c r="H28" s="20" t="n">
        <v>0</v>
      </c>
      <c r="I28" s="75">
        <f>CHOOSE(scenario_index,F28,G28,H28)</f>
        <v/>
      </c>
      <c r="J28" s="22" t="inlineStr">
        <is>
          <t>All financing fees carried in the single financing-fee line per brief BM-LBO-001.</t>
        </is>
      </c>
      <c r="K28" s="23" t="inlineStr">
        <is>
          <t>H</t>
        </is>
      </c>
      <c r="L28" s="24" t="inlineStr">
        <is>
          <t>S-001</t>
        </is>
      </c>
    </row>
    <row r="29">
      <c r="A29" s="17" t="inlineStr">
        <is>
          <t>A-035</t>
        </is>
      </c>
      <c r="B29" s="19" t="inlineStr">
        <is>
          <t>senior_tl_commitment_fee</t>
        </is>
      </c>
      <c r="C29" s="3" t="inlineStr">
        <is>
          <t>Commitment fee bps (senior)</t>
        </is>
      </c>
      <c r="D29" s="4" t="inlineStr">
        <is>
          <t>Commitment fee bps (senior)</t>
        </is>
      </c>
      <c r="E29" s="16" t="inlineStr">
        <is>
          <t>bps</t>
        </is>
      </c>
      <c r="F29" s="28" t="n">
        <v>0</v>
      </c>
      <c r="G29" s="28" t="n">
        <v>0</v>
      </c>
      <c r="H29" s="28" t="n">
        <v>0</v>
      </c>
      <c r="I29" s="77">
        <f>CHOOSE(scenario_index,F29,G29,H29)</f>
        <v/>
      </c>
      <c r="J29" s="22" t="inlineStr">
        <is>
          <t>Fully drawn at close per brief BM-LBO-001.</t>
        </is>
      </c>
      <c r="K29" s="23" t="inlineStr">
        <is>
          <t>H</t>
        </is>
      </c>
      <c r="L29" s="24" t="inlineStr">
        <is>
          <t>S-001</t>
        </is>
      </c>
    </row>
    <row r="30">
      <c r="A30" s="17" t="inlineStr">
        <is>
          <t>A-036</t>
        </is>
      </c>
      <c r="B30" s="19" t="inlineStr">
        <is>
          <t>senior_tl_oid</t>
        </is>
      </c>
      <c r="C30" s="3" t="inlineStr">
        <is>
          <t>OID % (senior)</t>
        </is>
      </c>
      <c r="D30" s="4" t="inlineStr">
        <is>
          <t>OID % (senior)</t>
        </is>
      </c>
      <c r="E30" s="16" t="inlineStr">
        <is>
          <t>pct</t>
        </is>
      </c>
      <c r="F30" s="20" t="n">
        <v>0</v>
      </c>
      <c r="G30" s="20" t="n">
        <v>0</v>
      </c>
      <c r="H30" s="20" t="n">
        <v>0</v>
      </c>
      <c r="I30" s="75">
        <f>CHOOSE(scenario_index,F30,G30,H30)</f>
        <v/>
      </c>
      <c r="J30" s="22" t="inlineStr">
        <is>
          <t>No OID per brief BM-LBO-001.</t>
        </is>
      </c>
      <c r="K30" s="23" t="inlineStr">
        <is>
          <t>H</t>
        </is>
      </c>
      <c r="L30" s="24" t="inlineStr">
        <is>
          <t>S-001</t>
        </is>
      </c>
    </row>
    <row r="31">
      <c r="A31" s="17" t="inlineStr">
        <is>
          <t>A-030</t>
        </is>
      </c>
      <c r="B31" s="19" t="inlineStr">
        <is>
          <t>sofr_rate</t>
        </is>
      </c>
      <c r="C31" s="3" t="inlineStr">
        <is>
          <t>SOFR (reference)</t>
        </is>
      </c>
      <c r="D31" s="4" t="inlineStr">
        <is>
          <t>SOFR (riferimento)</t>
        </is>
      </c>
      <c r="E31" s="16" t="inlineStr">
        <is>
          <t>pct</t>
        </is>
      </c>
      <c r="F31" s="20" t="n">
        <v>0.04</v>
      </c>
      <c r="G31" s="20" t="n">
        <v>0.04</v>
      </c>
      <c r="H31" s="20" t="n">
        <v>0.04</v>
      </c>
      <c r="I31" s="75">
        <f>CHOOSE(scenario_index,F31,G31,H31)</f>
        <v/>
      </c>
      <c r="J31" s="22" t="inlineStr">
        <is>
          <t>Frozen benchmark input per brief BM-LBO-001.</t>
        </is>
      </c>
      <c r="K31" s="23" t="inlineStr">
        <is>
          <t>H</t>
        </is>
      </c>
      <c r="L31" s="24" t="inlineStr">
        <is>
          <t>S-001</t>
        </is>
      </c>
    </row>
    <row r="32">
      <c r="A32" s="17" t="inlineStr">
        <is>
          <t>A-041</t>
        </is>
      </c>
      <c r="B32" s="19" t="inlineStr">
        <is>
          <t>mezz_amount</t>
        </is>
      </c>
      <c r="C32" s="3" t="inlineStr">
        <is>
          <t>Mezzanine amount</t>
        </is>
      </c>
      <c r="D32" s="4" t="inlineStr">
        <is>
          <t>Importo mezzanine</t>
        </is>
      </c>
      <c r="E32" s="16" t="inlineStr">
        <is>
          <t>eur_m</t>
        </is>
      </c>
      <c r="F32" s="26" t="n">
        <v>35</v>
      </c>
      <c r="G32" s="26" t="n">
        <v>35</v>
      </c>
      <c r="H32" s="26" t="n">
        <v>35</v>
      </c>
      <c r="I32" s="76">
        <f>CHOOSE(scenario_index,F32,G32,H32)</f>
        <v/>
      </c>
      <c r="J32" s="22" t="inlineStr">
        <is>
          <t>1.0x entry EBITDA of 35.0 per brief BM-LBO-001.</t>
        </is>
      </c>
      <c r="K32" s="23" t="inlineStr">
        <is>
          <t>H</t>
        </is>
      </c>
      <c r="L32" s="24" t="inlineStr">
        <is>
          <t>S-001</t>
        </is>
      </c>
    </row>
    <row r="33">
      <c r="A33" s="17" t="inlineStr">
        <is>
          <t>A-042</t>
        </is>
      </c>
      <c r="B33" s="19" t="inlineStr">
        <is>
          <t>mezz_margin_bps</t>
        </is>
      </c>
      <c r="C33" s="3" t="inlineStr">
        <is>
          <t>Mezzanine margin (bps)</t>
        </is>
      </c>
      <c r="D33" s="4" t="inlineStr">
        <is>
          <t>Margine mezzanine (bps)</t>
        </is>
      </c>
      <c r="E33" s="16" t="inlineStr">
        <is>
          <t>bps</t>
        </is>
      </c>
      <c r="F33" s="28" t="n">
        <v>700</v>
      </c>
      <c r="G33" s="28" t="n">
        <v>700</v>
      </c>
      <c r="H33" s="28" t="n">
        <v>700</v>
      </c>
      <c r="I33" s="77">
        <f>CHOOSE(scenario_index,F33,G33,H33)</f>
        <v/>
      </c>
      <c r="J33" s="22" t="inlineStr">
        <is>
          <t>Frozen benchmark input per brief BM-LBO-001 (all-in 11.00%).</t>
        </is>
      </c>
      <c r="K33" s="23" t="inlineStr">
        <is>
          <t>H</t>
        </is>
      </c>
      <c r="L33" s="24" t="inlineStr">
        <is>
          <t>S-001</t>
        </is>
      </c>
    </row>
    <row r="34">
      <c r="A34" s="17" t="inlineStr">
        <is>
          <t>A-043</t>
        </is>
      </c>
      <c r="B34" s="19" t="inlineStr">
        <is>
          <t>mezz_floor</t>
        </is>
      </c>
      <c r="C34" s="3" t="inlineStr">
        <is>
          <t>SOFR floor (mezz)</t>
        </is>
      </c>
      <c r="D34" s="4" t="inlineStr">
        <is>
          <t>Floor SOFR (mezz)</t>
        </is>
      </c>
      <c r="E34" s="16" t="inlineStr">
        <is>
          <t>pct</t>
        </is>
      </c>
      <c r="F34" s="20" t="n">
        <v>0</v>
      </c>
      <c r="G34" s="20" t="n">
        <v>0</v>
      </c>
      <c r="H34" s="20" t="n">
        <v>0</v>
      </c>
      <c r="I34" s="75">
        <f>CHOOSE(scenario_index,F34,G34,H34)</f>
        <v/>
      </c>
      <c r="J34" s="22" t="inlineStr">
        <is>
          <t>No floor per brief BM-LBO-001.</t>
        </is>
      </c>
      <c r="K34" s="23" t="inlineStr">
        <is>
          <t>H</t>
        </is>
      </c>
      <c r="L34" s="24" t="inlineStr">
        <is>
          <t>S-001</t>
        </is>
      </c>
    </row>
    <row r="35">
      <c r="A35" s="17" t="inlineStr">
        <is>
          <t>A-044</t>
        </is>
      </c>
      <c r="B35" s="19" t="inlineStr">
        <is>
          <t>mezz_arrangement_fee</t>
        </is>
      </c>
      <c r="C35" s="3" t="inlineStr">
        <is>
          <t>Arrangement fee % (mezz)</t>
        </is>
      </c>
      <c r="D35" s="4" t="inlineStr">
        <is>
          <t>Commissione strutturazione % (mezz)</t>
        </is>
      </c>
      <c r="E35" s="16" t="inlineStr">
        <is>
          <t>pct</t>
        </is>
      </c>
      <c r="F35" s="20" t="n">
        <v>0</v>
      </c>
      <c r="G35" s="20" t="n">
        <v>0</v>
      </c>
      <c r="H35" s="20" t="n">
        <v>0</v>
      </c>
      <c r="I35" s="75">
        <f>CHOOSE(scenario_index,F35,G35,H35)</f>
        <v/>
      </c>
      <c r="J35" s="22" t="inlineStr">
        <is>
          <t>All financing fees carried in the single financing-fee line per brief BM-LBO-001.</t>
        </is>
      </c>
      <c r="K35" s="23" t="inlineStr">
        <is>
          <t>H</t>
        </is>
      </c>
      <c r="L35" s="24" t="inlineStr">
        <is>
          <t>S-001</t>
        </is>
      </c>
    </row>
    <row r="36">
      <c r="A36" s="17" t="inlineStr">
        <is>
          <t>A-045</t>
        </is>
      </c>
      <c r="B36" s="19" t="inlineStr">
        <is>
          <t>mezz_commitment_fee</t>
        </is>
      </c>
      <c r="C36" s="3" t="inlineStr">
        <is>
          <t>Commitment fee bps (mezz)</t>
        </is>
      </c>
      <c r="D36" s="4" t="inlineStr">
        <is>
          <t>Commitment fee bps (mezz)</t>
        </is>
      </c>
      <c r="E36" s="16" t="inlineStr">
        <is>
          <t>bps</t>
        </is>
      </c>
      <c r="F36" s="28" t="n">
        <v>0</v>
      </c>
      <c r="G36" s="28" t="n">
        <v>0</v>
      </c>
      <c r="H36" s="28" t="n">
        <v>0</v>
      </c>
      <c r="I36" s="77">
        <f>CHOOSE(scenario_index,F36,G36,H36)</f>
        <v/>
      </c>
      <c r="J36" s="22" t="inlineStr">
        <is>
          <t>Fully drawn at close per brief BM-LBO-001.</t>
        </is>
      </c>
      <c r="K36" s="23" t="inlineStr">
        <is>
          <t>H</t>
        </is>
      </c>
      <c r="L36" s="24" t="inlineStr">
        <is>
          <t>S-001</t>
        </is>
      </c>
    </row>
    <row r="37">
      <c r="A37" s="17" t="inlineStr">
        <is>
          <t>A-046</t>
        </is>
      </c>
      <c r="B37" s="19" t="inlineStr">
        <is>
          <t>mezz_oid</t>
        </is>
      </c>
      <c r="C37" s="3" t="inlineStr">
        <is>
          <t>OID % (mezz)</t>
        </is>
      </c>
      <c r="D37" s="4" t="inlineStr">
        <is>
          <t>OID % (mezz)</t>
        </is>
      </c>
      <c r="E37" s="16" t="inlineStr">
        <is>
          <t>pct</t>
        </is>
      </c>
      <c r="F37" s="20" t="n">
        <v>0</v>
      </c>
      <c r="G37" s="20" t="n">
        <v>0</v>
      </c>
      <c r="H37" s="20" t="n">
        <v>0</v>
      </c>
      <c r="I37" s="75">
        <f>CHOOSE(scenario_index,F37,G37,H37)</f>
        <v/>
      </c>
      <c r="J37" s="22" t="inlineStr">
        <is>
          <t>No OID per brief BM-LBO-001.</t>
        </is>
      </c>
      <c r="K37" s="23" t="inlineStr">
        <is>
          <t>H</t>
        </is>
      </c>
      <c r="L37" s="24" t="inlineStr">
        <is>
          <t>S-001</t>
        </is>
      </c>
    </row>
    <row r="38">
      <c r="A38" s="17" t="inlineStr">
        <is>
          <t>A-040</t>
        </is>
      </c>
      <c r="B38" s="19" t="inlineStr">
        <is>
          <t>sofr_rate_mezz</t>
        </is>
      </c>
      <c r="C38" s="3" t="inlineStr">
        <is>
          <t>SOFR (reference, mezz)</t>
        </is>
      </c>
      <c r="D38" s="4" t="inlineStr">
        <is>
          <t>SOFR (riferimento, mezz)</t>
        </is>
      </c>
      <c r="E38" s="16" t="inlineStr">
        <is>
          <t>pct</t>
        </is>
      </c>
      <c r="F38" s="20" t="n">
        <v>0.04</v>
      </c>
      <c r="G38" s="20" t="n">
        <v>0.04</v>
      </c>
      <c r="H38" s="20" t="n">
        <v>0.04</v>
      </c>
      <c r="I38" s="75">
        <f>CHOOSE(scenario_index,F38,G38,H38)</f>
        <v/>
      </c>
      <c r="J38" s="22" t="inlineStr">
        <is>
          <t>Frozen benchmark input per brief BM-LBO-001.</t>
        </is>
      </c>
      <c r="K38" s="23" t="inlineStr">
        <is>
          <t>H</t>
        </is>
      </c>
      <c r="L38" s="24" t="inlineStr">
        <is>
          <t>S-001</t>
        </is>
      </c>
    </row>
    <row r="39">
      <c r="A39" s="17" t="inlineStr">
        <is>
          <t>A-050</t>
        </is>
      </c>
      <c r="B39" s="19" t="inlineStr">
        <is>
          <t>leverage_threshold_y1</t>
        </is>
      </c>
      <c r="C39" s="3" t="inlineStr">
        <is>
          <t>Leverage threshold Y1</t>
        </is>
      </c>
      <c r="D39" s="4" t="inlineStr">
        <is>
          <t>Soglia leva A1</t>
        </is>
      </c>
      <c r="E39" s="16" t="inlineStr">
        <is>
          <t>x</t>
        </is>
      </c>
      <c r="F39" s="30" t="n">
        <v>7</v>
      </c>
      <c r="G39" s="30" t="n">
        <v>7</v>
      </c>
      <c r="H39" s="30" t="n">
        <v>7</v>
      </c>
      <c r="I39" s="78">
        <f>CHOOSE(scenario_index,F39,G39,H39)</f>
        <v/>
      </c>
      <c r="J39" s="22" t="inlineStr">
        <is>
          <t>Frozen benchmark covenant per brief BM-LBO-001.</t>
        </is>
      </c>
      <c r="K39" s="23" t="inlineStr">
        <is>
          <t>H</t>
        </is>
      </c>
      <c r="L39" s="24" t="inlineStr">
        <is>
          <t>S-001</t>
        </is>
      </c>
    </row>
    <row r="40">
      <c r="A40" s="17" t="inlineStr">
        <is>
          <t>A-051</t>
        </is>
      </c>
      <c r="B40" s="19" t="inlineStr">
        <is>
          <t>leverage_threshold_y2</t>
        </is>
      </c>
      <c r="C40" s="3" t="inlineStr">
        <is>
          <t>Leverage threshold Y2</t>
        </is>
      </c>
      <c r="D40" s="4" t="inlineStr">
        <is>
          <t>Soglia leva A2</t>
        </is>
      </c>
      <c r="E40" s="16" t="inlineStr">
        <is>
          <t>x</t>
        </is>
      </c>
      <c r="F40" s="30" t="n">
        <v>6.75</v>
      </c>
      <c r="G40" s="30" t="n">
        <v>6.75</v>
      </c>
      <c r="H40" s="30" t="n">
        <v>6.75</v>
      </c>
      <c r="I40" s="78">
        <f>CHOOSE(scenario_index,F40,G40,H40)</f>
        <v/>
      </c>
      <c r="J40" s="22" t="inlineStr">
        <is>
          <t>Frozen benchmark covenant per brief BM-LBO-001.</t>
        </is>
      </c>
      <c r="K40" s="23" t="inlineStr">
        <is>
          <t>H</t>
        </is>
      </c>
      <c r="L40" s="24" t="inlineStr">
        <is>
          <t>S-001</t>
        </is>
      </c>
    </row>
    <row r="41">
      <c r="A41" s="17" t="inlineStr">
        <is>
          <t>A-052</t>
        </is>
      </c>
      <c r="B41" s="19" t="inlineStr">
        <is>
          <t>leverage_threshold_y3</t>
        </is>
      </c>
      <c r="C41" s="3" t="inlineStr">
        <is>
          <t>Leverage threshold Y3</t>
        </is>
      </c>
      <c r="D41" s="4" t="inlineStr">
        <is>
          <t>Soglia leva A3</t>
        </is>
      </c>
      <c r="E41" s="16" t="inlineStr">
        <is>
          <t>x</t>
        </is>
      </c>
      <c r="F41" s="30" t="n">
        <v>6.5</v>
      </c>
      <c r="G41" s="30" t="n">
        <v>6.5</v>
      </c>
      <c r="H41" s="30" t="n">
        <v>6.5</v>
      </c>
      <c r="I41" s="78">
        <f>CHOOSE(scenario_index,F41,G41,H41)</f>
        <v/>
      </c>
      <c r="J41" s="22" t="inlineStr">
        <is>
          <t>Frozen benchmark covenant per brief BM-LBO-001.</t>
        </is>
      </c>
      <c r="K41" s="23" t="inlineStr">
        <is>
          <t>H</t>
        </is>
      </c>
      <c r="L41" s="24" t="inlineStr">
        <is>
          <t>S-001</t>
        </is>
      </c>
    </row>
    <row r="42">
      <c r="A42" s="17" t="inlineStr">
        <is>
          <t>A-053</t>
        </is>
      </c>
      <c r="B42" s="19" t="inlineStr">
        <is>
          <t>leverage_threshold_y4</t>
        </is>
      </c>
      <c r="C42" s="3" t="inlineStr">
        <is>
          <t>Leverage threshold Y4</t>
        </is>
      </c>
      <c r="D42" s="4" t="inlineStr">
        <is>
          <t>Soglia leva A4</t>
        </is>
      </c>
      <c r="E42" s="16" t="inlineStr">
        <is>
          <t>x</t>
        </is>
      </c>
      <c r="F42" s="30" t="n">
        <v>6.25</v>
      </c>
      <c r="G42" s="30" t="n">
        <v>6.25</v>
      </c>
      <c r="H42" s="30" t="n">
        <v>6.25</v>
      </c>
      <c r="I42" s="78">
        <f>CHOOSE(scenario_index,F42,G42,H42)</f>
        <v/>
      </c>
      <c r="J42" s="22" t="inlineStr">
        <is>
          <t>Frozen benchmark covenant per brief BM-LBO-001.</t>
        </is>
      </c>
      <c r="K42" s="23" t="inlineStr">
        <is>
          <t>H</t>
        </is>
      </c>
      <c r="L42" s="24" t="inlineStr">
        <is>
          <t>S-001</t>
        </is>
      </c>
    </row>
    <row r="43">
      <c r="A43" s="17" t="inlineStr">
        <is>
          <t>A-054</t>
        </is>
      </c>
      <c r="B43" s="19" t="inlineStr">
        <is>
          <t>leverage_threshold_y5</t>
        </is>
      </c>
      <c r="C43" s="3" t="inlineStr">
        <is>
          <t>Leverage threshold Y5</t>
        </is>
      </c>
      <c r="D43" s="4" t="inlineStr">
        <is>
          <t>Soglia leva A5</t>
        </is>
      </c>
      <c r="E43" s="16" t="inlineStr">
        <is>
          <t>x</t>
        </is>
      </c>
      <c r="F43" s="30" t="n">
        <v>6</v>
      </c>
      <c r="G43" s="30" t="n">
        <v>6</v>
      </c>
      <c r="H43" s="30" t="n">
        <v>6</v>
      </c>
      <c r="I43" s="78">
        <f>CHOOSE(scenario_index,F43,G43,H43)</f>
        <v/>
      </c>
      <c r="J43" s="22" t="inlineStr">
        <is>
          <t>Frozen benchmark covenant per brief BM-LBO-001.</t>
        </is>
      </c>
      <c r="K43" s="23" t="inlineStr">
        <is>
          <t>H</t>
        </is>
      </c>
      <c r="L43" s="24" t="inlineStr">
        <is>
          <t>S-001</t>
        </is>
      </c>
    </row>
    <row r="44">
      <c r="A44" s="17" t="inlineStr">
        <is>
          <t>A-055</t>
        </is>
      </c>
      <c r="B44" s="19" t="inlineStr">
        <is>
          <t>leverage_threshold_y6</t>
        </is>
      </c>
      <c r="C44" s="3" t="inlineStr">
        <is>
          <t>Leverage threshold Y6</t>
        </is>
      </c>
      <c r="D44" s="4" t="inlineStr">
        <is>
          <t>Soglia leva A6</t>
        </is>
      </c>
      <c r="E44" s="16" t="inlineStr">
        <is>
          <t>x</t>
        </is>
      </c>
      <c r="F44" s="30" t="n">
        <v>6</v>
      </c>
      <c r="G44" s="30" t="n">
        <v>6</v>
      </c>
      <c r="H44" s="30" t="n">
        <v>6</v>
      </c>
      <c r="I44" s="78">
        <f>CHOOSE(scenario_index,F44,G44,H44)</f>
        <v/>
      </c>
      <c r="J44" s="22" t="inlineStr">
        <is>
          <t>Frozen benchmark covenant per brief BM-LBO-001.</t>
        </is>
      </c>
      <c r="K44" s="23" t="inlineStr">
        <is>
          <t>H</t>
        </is>
      </c>
      <c r="L44" s="24" t="inlineStr">
        <is>
          <t>S-001</t>
        </is>
      </c>
    </row>
    <row r="45">
      <c r="A45" s="17" t="inlineStr">
        <is>
          <t>A-056</t>
        </is>
      </c>
      <c r="B45" s="19" t="inlineStr">
        <is>
          <t>leverage_threshold_y7</t>
        </is>
      </c>
      <c r="C45" s="3" t="inlineStr">
        <is>
          <t>Leverage threshold Y7</t>
        </is>
      </c>
      <c r="D45" s="4" t="inlineStr">
        <is>
          <t>Soglia leva A7</t>
        </is>
      </c>
      <c r="E45" s="16" t="inlineStr">
        <is>
          <t>x</t>
        </is>
      </c>
      <c r="F45" s="30" t="n">
        <v>6</v>
      </c>
      <c r="G45" s="30" t="n">
        <v>6</v>
      </c>
      <c r="H45" s="30" t="n">
        <v>6</v>
      </c>
      <c r="I45" s="78">
        <f>CHOOSE(scenario_index,F45,G45,H45)</f>
        <v/>
      </c>
      <c r="J45" s="22" t="inlineStr">
        <is>
          <t>Frozen benchmark covenant per brief BM-LBO-001.</t>
        </is>
      </c>
      <c r="K45" s="23" t="inlineStr">
        <is>
          <t>H</t>
        </is>
      </c>
      <c r="L45" s="24" t="inlineStr">
        <is>
          <t>S-001</t>
        </is>
      </c>
    </row>
    <row r="46">
      <c r="A46" s="17" t="inlineStr">
        <is>
          <t>A-060</t>
        </is>
      </c>
      <c r="B46" s="19" t="inlineStr">
        <is>
          <t>icr_threshold_y1</t>
        </is>
      </c>
      <c r="C46" s="3" t="inlineStr">
        <is>
          <t>ICR threshold Y1</t>
        </is>
      </c>
      <c r="D46" s="4" t="inlineStr">
        <is>
          <t>Soglia ICR A1</t>
        </is>
      </c>
      <c r="E46" s="16" t="inlineStr">
        <is>
          <t>x</t>
        </is>
      </c>
      <c r="F46" s="30" t="n">
        <v>1.5</v>
      </c>
      <c r="G46" s="30" t="n">
        <v>1.5</v>
      </c>
      <c r="H46" s="30" t="n">
        <v>1.5</v>
      </c>
      <c r="I46" s="78">
        <f>CHOOSE(scenario_index,F46,G46,H46)</f>
        <v/>
      </c>
      <c r="J46" s="22" t="inlineStr">
        <is>
          <t>Frozen benchmark covenant per brief BM-LBO-001.</t>
        </is>
      </c>
      <c r="K46" s="23" t="inlineStr">
        <is>
          <t>H</t>
        </is>
      </c>
      <c r="L46" s="24" t="inlineStr">
        <is>
          <t>S-001</t>
        </is>
      </c>
    </row>
    <row r="47">
      <c r="A47" s="17" t="inlineStr">
        <is>
          <t>A-061</t>
        </is>
      </c>
      <c r="B47" s="19" t="inlineStr">
        <is>
          <t>icr_threshold_y2</t>
        </is>
      </c>
      <c r="C47" s="3" t="inlineStr">
        <is>
          <t>ICR threshold Y2</t>
        </is>
      </c>
      <c r="D47" s="4" t="inlineStr">
        <is>
          <t>Soglia ICR A2</t>
        </is>
      </c>
      <c r="E47" s="16" t="inlineStr">
        <is>
          <t>x</t>
        </is>
      </c>
      <c r="F47" s="30" t="n">
        <v>1.5</v>
      </c>
      <c r="G47" s="30" t="n">
        <v>1.5</v>
      </c>
      <c r="H47" s="30" t="n">
        <v>1.5</v>
      </c>
      <c r="I47" s="78">
        <f>CHOOSE(scenario_index,F47,G47,H47)</f>
        <v/>
      </c>
      <c r="J47" s="22" t="inlineStr">
        <is>
          <t>Frozen benchmark covenant per brief BM-LBO-001.</t>
        </is>
      </c>
      <c r="K47" s="23" t="inlineStr">
        <is>
          <t>H</t>
        </is>
      </c>
      <c r="L47" s="24" t="inlineStr">
        <is>
          <t>S-001</t>
        </is>
      </c>
    </row>
    <row r="48">
      <c r="A48" s="17" t="inlineStr">
        <is>
          <t>A-062</t>
        </is>
      </c>
      <c r="B48" s="19" t="inlineStr">
        <is>
          <t>icr_threshold_y3</t>
        </is>
      </c>
      <c r="C48" s="3" t="inlineStr">
        <is>
          <t>ICR threshold Y3</t>
        </is>
      </c>
      <c r="D48" s="4" t="inlineStr">
        <is>
          <t>Soglia ICR A3</t>
        </is>
      </c>
      <c r="E48" s="16" t="inlineStr">
        <is>
          <t>x</t>
        </is>
      </c>
      <c r="F48" s="30" t="n">
        <v>1.75</v>
      </c>
      <c r="G48" s="30" t="n">
        <v>1.75</v>
      </c>
      <c r="H48" s="30" t="n">
        <v>1.75</v>
      </c>
      <c r="I48" s="78">
        <f>CHOOSE(scenario_index,F48,G48,H48)</f>
        <v/>
      </c>
      <c r="J48" s="22" t="inlineStr">
        <is>
          <t>Frozen benchmark covenant per brief BM-LBO-001.</t>
        </is>
      </c>
      <c r="K48" s="23" t="inlineStr">
        <is>
          <t>H</t>
        </is>
      </c>
      <c r="L48" s="24" t="inlineStr">
        <is>
          <t>S-001</t>
        </is>
      </c>
    </row>
    <row r="49">
      <c r="A49" s="17" t="inlineStr">
        <is>
          <t>A-063</t>
        </is>
      </c>
      <c r="B49" s="19" t="inlineStr">
        <is>
          <t>icr_threshold_y4</t>
        </is>
      </c>
      <c r="C49" s="3" t="inlineStr">
        <is>
          <t>ICR threshold Y4</t>
        </is>
      </c>
      <c r="D49" s="4" t="inlineStr">
        <is>
          <t>Soglia ICR A4</t>
        </is>
      </c>
      <c r="E49" s="16" t="inlineStr">
        <is>
          <t>x</t>
        </is>
      </c>
      <c r="F49" s="30" t="n">
        <v>1.75</v>
      </c>
      <c r="G49" s="30" t="n">
        <v>1.75</v>
      </c>
      <c r="H49" s="30" t="n">
        <v>1.75</v>
      </c>
      <c r="I49" s="78">
        <f>CHOOSE(scenario_index,F49,G49,H49)</f>
        <v/>
      </c>
      <c r="J49" s="22" t="inlineStr">
        <is>
          <t>Frozen benchmark covenant per brief BM-LBO-001.</t>
        </is>
      </c>
      <c r="K49" s="23" t="inlineStr">
        <is>
          <t>H</t>
        </is>
      </c>
      <c r="L49" s="24" t="inlineStr">
        <is>
          <t>S-001</t>
        </is>
      </c>
    </row>
    <row r="50">
      <c r="A50" s="17" t="inlineStr">
        <is>
          <t>A-064</t>
        </is>
      </c>
      <c r="B50" s="19" t="inlineStr">
        <is>
          <t>icr_threshold_y5</t>
        </is>
      </c>
      <c r="C50" s="3" t="inlineStr">
        <is>
          <t>ICR threshold Y5</t>
        </is>
      </c>
      <c r="D50" s="4" t="inlineStr">
        <is>
          <t>Soglia ICR A5</t>
        </is>
      </c>
      <c r="E50" s="16" t="inlineStr">
        <is>
          <t>x</t>
        </is>
      </c>
      <c r="F50" s="30" t="n">
        <v>2</v>
      </c>
      <c r="G50" s="30" t="n">
        <v>2</v>
      </c>
      <c r="H50" s="30" t="n">
        <v>2</v>
      </c>
      <c r="I50" s="78">
        <f>CHOOSE(scenario_index,F50,G50,H50)</f>
        <v/>
      </c>
      <c r="J50" s="22" t="inlineStr">
        <is>
          <t>Frozen benchmark covenant per brief BM-LBO-001.</t>
        </is>
      </c>
      <c r="K50" s="23" t="inlineStr">
        <is>
          <t>H</t>
        </is>
      </c>
      <c r="L50" s="24" t="inlineStr">
        <is>
          <t>S-001</t>
        </is>
      </c>
    </row>
    <row r="51">
      <c r="A51" s="17" t="inlineStr">
        <is>
          <t>A-065</t>
        </is>
      </c>
      <c r="B51" s="19" t="inlineStr">
        <is>
          <t>icr_threshold_y6</t>
        </is>
      </c>
      <c r="C51" s="3" t="inlineStr">
        <is>
          <t>ICR threshold Y6</t>
        </is>
      </c>
      <c r="D51" s="4" t="inlineStr">
        <is>
          <t>Soglia ICR A6</t>
        </is>
      </c>
      <c r="E51" s="16" t="inlineStr">
        <is>
          <t>x</t>
        </is>
      </c>
      <c r="F51" s="30" t="n">
        <v>2</v>
      </c>
      <c r="G51" s="30" t="n">
        <v>2</v>
      </c>
      <c r="H51" s="30" t="n">
        <v>2</v>
      </c>
      <c r="I51" s="78">
        <f>CHOOSE(scenario_index,F51,G51,H51)</f>
        <v/>
      </c>
      <c r="J51" s="22" t="inlineStr">
        <is>
          <t>Frozen benchmark covenant per brief BM-LBO-001.</t>
        </is>
      </c>
      <c r="K51" s="23" t="inlineStr">
        <is>
          <t>H</t>
        </is>
      </c>
      <c r="L51" s="24" t="inlineStr">
        <is>
          <t>S-001</t>
        </is>
      </c>
    </row>
    <row r="52">
      <c r="A52" s="17" t="inlineStr">
        <is>
          <t>A-066</t>
        </is>
      </c>
      <c r="B52" s="19" t="inlineStr">
        <is>
          <t>icr_threshold_y7</t>
        </is>
      </c>
      <c r="C52" s="3" t="inlineStr">
        <is>
          <t>ICR threshold Y7</t>
        </is>
      </c>
      <c r="D52" s="4" t="inlineStr">
        <is>
          <t>Soglia ICR A7</t>
        </is>
      </c>
      <c r="E52" s="16" t="inlineStr">
        <is>
          <t>x</t>
        </is>
      </c>
      <c r="F52" s="30" t="n">
        <v>2</v>
      </c>
      <c r="G52" s="30" t="n">
        <v>2</v>
      </c>
      <c r="H52" s="30" t="n">
        <v>2</v>
      </c>
      <c r="I52" s="78">
        <f>CHOOSE(scenario_index,F52,G52,H52)</f>
        <v/>
      </c>
      <c r="J52" s="22" t="inlineStr">
        <is>
          <t>Frozen benchmark covenant per brief BM-LBO-001.</t>
        </is>
      </c>
      <c r="K52" s="23" t="inlineStr">
        <is>
          <t>H</t>
        </is>
      </c>
      <c r="L52" s="24" t="inlineStr">
        <is>
          <t>S-001</t>
        </is>
      </c>
    </row>
    <row r="53">
      <c r="A53" s="17" t="inlineStr">
        <is>
          <t>A-070</t>
        </is>
      </c>
      <c r="B53" s="19" t="inlineStr">
        <is>
          <t>legal_fees_eur_m</t>
        </is>
      </c>
      <c r="C53" s="3" t="inlineStr">
        <is>
          <t>Legal fees (at close)</t>
        </is>
      </c>
      <c r="D53" s="4" t="inlineStr">
        <is>
          <t>Spese legali (al closing)</t>
        </is>
      </c>
      <c r="E53" s="16" t="inlineStr">
        <is>
          <t>eur_m</t>
        </is>
      </c>
      <c r="F53" s="26" t="n">
        <v>0</v>
      </c>
      <c r="G53" s="26" t="n">
        <v>0</v>
      </c>
      <c r="H53" s="26" t="n">
        <v>0</v>
      </c>
      <c r="I53" s="76">
        <f>CHOOSE(scenario_index,F53,G53,H53)</f>
        <v/>
      </c>
      <c r="J53" s="22" t="inlineStr">
        <is>
          <t>Carried inside the M&amp;A advisory fee line per brief BM-LBO-001.</t>
        </is>
      </c>
      <c r="K53" s="23" t="inlineStr">
        <is>
          <t>H</t>
        </is>
      </c>
      <c r="L53" s="24" t="inlineStr">
        <is>
          <t>S-001</t>
        </is>
      </c>
    </row>
    <row r="54">
      <c r="A54" s="17" t="inlineStr">
        <is>
          <t>A-071</t>
        </is>
      </c>
      <c r="B54" s="19" t="inlineStr">
        <is>
          <t>advisory_fees_eur_m</t>
        </is>
      </c>
      <c r="C54" s="3" t="inlineStr">
        <is>
          <t>Advisory fees (at close)</t>
        </is>
      </c>
      <c r="D54" s="4" t="inlineStr">
        <is>
          <t>Advisory (al closing)</t>
        </is>
      </c>
      <c r="E54" s="16" t="inlineStr">
        <is>
          <t>eur_m</t>
        </is>
      </c>
      <c r="F54" s="26" t="n">
        <v>0</v>
      </c>
      <c r="G54" s="26" t="n">
        <v>0</v>
      </c>
      <c r="H54" s="26" t="n">
        <v>0</v>
      </c>
      <c r="I54" s="76">
        <f>CHOOSE(scenario_index,F54,G54,H54)</f>
        <v/>
      </c>
      <c r="J54" s="22" t="inlineStr">
        <is>
          <t>Carried inside the M&amp;A advisory fee line per brief BM-LBO-001.</t>
        </is>
      </c>
      <c r="K54" s="23" t="inlineStr">
        <is>
          <t>H</t>
        </is>
      </c>
      <c r="L54" s="24" t="inlineStr">
        <is>
          <t>S-001</t>
        </is>
      </c>
    </row>
    <row r="55">
      <c r="A55" s="17" t="inlineStr">
        <is>
          <t>A-072</t>
        </is>
      </c>
      <c r="B55" s="19" t="inlineStr">
        <is>
          <t>other_fees_eur_m</t>
        </is>
      </c>
      <c r="C55" s="3" t="inlineStr">
        <is>
          <t>Other transaction fees</t>
        </is>
      </c>
      <c r="D55" s="4" t="inlineStr">
        <is>
          <t>Altre spese transazionali</t>
        </is>
      </c>
      <c r="E55" s="16" t="inlineStr">
        <is>
          <t>eur_m</t>
        </is>
      </c>
      <c r="F55" s="26" t="n">
        <v>0</v>
      </c>
      <c r="G55" s="26" t="n">
        <v>0</v>
      </c>
      <c r="H55" s="26" t="n">
        <v>0</v>
      </c>
      <c r="I55" s="76">
        <f>CHOOSE(scenario_index,F55,G55,H55)</f>
        <v/>
      </c>
      <c r="J55" s="22" t="inlineStr">
        <is>
          <t>Carried inside the M&amp;A advisory fee line per brief BM-LBO-001.</t>
        </is>
      </c>
      <c r="K55" s="23" t="inlineStr">
        <is>
          <t>H</t>
        </is>
      </c>
      <c r="L55" s="24" t="inlineStr">
        <is>
          <t>S-001</t>
        </is>
      </c>
    </row>
    <row r="56">
      <c r="A56" s="17" t="inlineStr">
        <is>
          <t>A-080</t>
        </is>
      </c>
      <c r="B56" s="19" t="inlineStr">
        <is>
          <t>expected_hold_years</t>
        </is>
      </c>
      <c r="C56" s="3" t="inlineStr">
        <is>
          <t>Expected hold (years)</t>
        </is>
      </c>
      <c r="D56" s="4" t="inlineStr">
        <is>
          <t>Durata prevista (anni)</t>
        </is>
      </c>
      <c r="E56" s="16" t="inlineStr">
        <is>
          <t>years</t>
        </is>
      </c>
      <c r="F56" s="32" t="n">
        <v>5</v>
      </c>
      <c r="G56" s="32" t="n">
        <v>5</v>
      </c>
      <c r="H56" s="32" t="n">
        <v>5</v>
      </c>
      <c r="I56" s="79">
        <f>CHOOSE(scenario_index,F56,G56,H56)</f>
        <v/>
      </c>
      <c r="J56" s="22" t="inlineStr">
        <is>
          <t>Frozen benchmark input per brief BM-LBO-001.</t>
        </is>
      </c>
      <c r="K56" s="23" t="inlineStr">
        <is>
          <t>H</t>
        </is>
      </c>
      <c r="L56" s="24" t="inlineStr">
        <is>
          <t>S-001</t>
        </is>
      </c>
    </row>
    <row r="57">
      <c r="A57" s="17" t="inlineStr">
        <is>
          <t>A-081</t>
        </is>
      </c>
      <c r="B57" s="19" t="inlineStr">
        <is>
          <t>make_whole_pct</t>
        </is>
      </c>
      <c r="C57" s="3" t="inlineStr">
        <is>
          <t>Make-whole premium %</t>
        </is>
      </c>
      <c r="D57" s="4" t="inlineStr">
        <is>
          <t>Make-whole %</t>
        </is>
      </c>
      <c r="E57" s="16" t="inlineStr">
        <is>
          <t>pct</t>
        </is>
      </c>
      <c r="F57" s="20" t="n">
        <v>0</v>
      </c>
      <c r="G57" s="20" t="n">
        <v>0</v>
      </c>
      <c r="H57" s="20" t="n">
        <v>0</v>
      </c>
      <c r="I57" s="75">
        <f>CHOOSE(scenario_index,F57,G57,H57)</f>
        <v/>
      </c>
      <c r="J57" s="22" t="inlineStr">
        <is>
          <t>Not exercised — sponsor exits at year 5 per brief BM-LBO-001.</t>
        </is>
      </c>
      <c r="K57" s="23" t="inlineStr">
        <is>
          <t>H</t>
        </is>
      </c>
      <c r="L57" s="24" t="inlineStr">
        <is>
          <t>S-001</t>
        </is>
      </c>
    </row>
  </sheetData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Operating Model</t>
        </is>
      </c>
      <c r="B1" s="2" t="inlineStr">
        <is>
          <t>Modello operativo</t>
        </is>
      </c>
    </row>
    <row r="2">
      <c r="A2" s="2" t="inlineStr">
        <is>
          <t>USD millions · sign: costs_negative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5">
      <c r="C5" s="17" t="inlineStr">
        <is>
          <t>Unit</t>
        </is>
      </c>
      <c r="D5" s="12" t="inlineStr">
        <is>
          <t>A 2023</t>
        </is>
      </c>
      <c r="E5" s="12" t="inlineStr">
        <is>
          <t>A 2024</t>
        </is>
      </c>
      <c r="F5" s="12" t="inlineStr">
        <is>
          <t>A 2025</t>
        </is>
      </c>
      <c r="G5" s="12" t="inlineStr">
        <is>
          <t>E 2026</t>
        </is>
      </c>
      <c r="H5" s="12" t="inlineStr">
        <is>
          <t>E 2027</t>
        </is>
      </c>
      <c r="I5" s="12" t="inlineStr">
        <is>
          <t>E 2028</t>
        </is>
      </c>
      <c r="J5" s="12" t="inlineStr">
        <is>
          <t>E 2029</t>
        </is>
      </c>
      <c r="K5" s="12" t="inlineStr">
        <is>
          <t>E 2030</t>
        </is>
      </c>
      <c r="L5" s="12" t="inlineStr">
        <is>
          <t>E 2031</t>
        </is>
      </c>
      <c r="M5" s="12" t="inlineStr">
        <is>
          <t>E 2032</t>
        </is>
      </c>
    </row>
    <row r="6">
      <c r="D6" s="37" t="n"/>
      <c r="E6" s="37" t="n"/>
      <c r="F6" s="37" t="n"/>
    </row>
    <row r="7">
      <c r="A7" s="7" t="inlineStr">
        <is>
          <t>Revenue build</t>
        </is>
      </c>
      <c r="B7" s="8" t="inlineStr">
        <is>
          <t>Costruzione ricavi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Revenue growth %</t>
        </is>
      </c>
      <c r="B8" s="4" t="inlineStr">
        <is>
          <t>Crescita ricavi %</t>
        </is>
      </c>
      <c r="C8" s="2" t="inlineStr">
        <is>
          <t>%</t>
        </is>
      </c>
      <c r="D8" s="37" t="n"/>
      <c r="E8" s="38">
        <f>IFERROR($E$9/$D$9-1,0)</f>
        <v/>
      </c>
      <c r="F8" s="38">
        <f>IFERROR($F$9/$E$9-1,0)</f>
        <v/>
      </c>
      <c r="G8" s="39">
        <f>revenue_growth_y1</f>
        <v/>
      </c>
      <c r="H8" s="39">
        <f>revenue_growth_y2</f>
        <v/>
      </c>
      <c r="I8" s="39">
        <f>revenue_growth_y3</f>
        <v/>
      </c>
      <c r="J8" s="39">
        <f>revenue_growth_y4</f>
        <v/>
      </c>
      <c r="K8" s="39">
        <f>revenue_growth_y5</f>
        <v/>
      </c>
      <c r="L8" s="39">
        <f>revenue_growth_y6</f>
        <v/>
      </c>
      <c r="M8" s="39">
        <f>revenue_growth_y7</f>
        <v/>
      </c>
    </row>
    <row r="9">
      <c r="A9" s="3" t="inlineStr">
        <is>
          <t>Revenue</t>
        </is>
      </c>
      <c r="B9" s="4" t="inlineStr">
        <is>
          <t>Ricavi</t>
        </is>
      </c>
      <c r="C9" s="2" t="inlineStr">
        <is>
          <t>USD</t>
        </is>
      </c>
      <c r="D9" s="40" t="n">
        <v>81</v>
      </c>
      <c r="E9" s="40" t="n">
        <v>90</v>
      </c>
      <c r="F9" s="40" t="n">
        <v>100</v>
      </c>
      <c r="G9" s="41">
        <f>$F$9*(1+$G$8)</f>
        <v/>
      </c>
      <c r="H9" s="41">
        <f>$G$9*(1+$H$8)</f>
        <v/>
      </c>
      <c r="I9" s="41">
        <f>$H$9*(1+$I$8)</f>
        <v/>
      </c>
      <c r="J9" s="41">
        <f>$I$9*(1+$J$8)</f>
        <v/>
      </c>
      <c r="K9" s="41">
        <f>$J$9*(1+$K$8)</f>
        <v/>
      </c>
      <c r="L9" s="41">
        <f>$K$9*(1+$L$8)</f>
        <v/>
      </c>
      <c r="M9" s="41">
        <f>$L$9*(1+$M$8)</f>
        <v/>
      </c>
    </row>
    <row r="10">
      <c r="D10" s="37" t="n"/>
      <c r="E10" s="37" t="n"/>
      <c r="F10" s="37" t="n"/>
    </row>
    <row r="11">
      <c r="A11" s="7" t="inlineStr">
        <is>
          <t>Margin &amp; opex</t>
        </is>
      </c>
      <c r="B11" s="8" t="inlineStr">
        <is>
          <t>Margini e opex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3" t="inlineStr">
        <is>
          <t>EBITDA margin %</t>
        </is>
      </c>
      <c r="B12" s="4" t="inlineStr">
        <is>
          <t>Margine EBITDA %</t>
        </is>
      </c>
      <c r="C12" s="2" t="inlineStr">
        <is>
          <t>%</t>
        </is>
      </c>
      <c r="D12" s="42" t="n">
        <v>0.3296296296296296</v>
      </c>
      <c r="E12" s="42" t="n">
        <v>0.34</v>
      </c>
      <c r="F12" s="42" t="n">
        <v>0.35</v>
      </c>
      <c r="G12" s="39">
        <f>ebitda_margin_y1</f>
        <v/>
      </c>
      <c r="H12" s="39">
        <f>ebitda_margin_y2</f>
        <v/>
      </c>
      <c r="I12" s="39">
        <f>ebitda_margin_y3</f>
        <v/>
      </c>
      <c r="J12" s="39">
        <f>ebitda_margin_y4</f>
        <v/>
      </c>
      <c r="K12" s="39">
        <f>ebitda_margin_y5</f>
        <v/>
      </c>
      <c r="L12" s="39">
        <f>ebitda_margin_y6</f>
        <v/>
      </c>
      <c r="M12" s="39">
        <f>ebitda_margin_y7</f>
        <v/>
      </c>
    </row>
    <row r="13">
      <c r="A13" s="3" t="inlineStr">
        <is>
          <t>EBITDA</t>
        </is>
      </c>
      <c r="B13" s="4" t="inlineStr">
        <is>
          <t>EBITDA</t>
        </is>
      </c>
      <c r="C13" s="2" t="inlineStr">
        <is>
          <t>USD</t>
        </is>
      </c>
      <c r="D13" s="40" t="n">
        <v>26.7</v>
      </c>
      <c r="E13" s="40" t="n">
        <v>30.6</v>
      </c>
      <c r="F13" s="40" t="n">
        <v>35</v>
      </c>
      <c r="G13" s="41">
        <f>$G$9*$G$12</f>
        <v/>
      </c>
      <c r="H13" s="41">
        <f>$H$9*$H$12</f>
        <v/>
      </c>
      <c r="I13" s="41">
        <f>$I$9*$I$12</f>
        <v/>
      </c>
      <c r="J13" s="41">
        <f>$J$9*$J$12</f>
        <v/>
      </c>
      <c r="K13" s="41">
        <f>$K$9*$K$12</f>
        <v/>
      </c>
      <c r="L13" s="41">
        <f>$L$9*$L$12</f>
        <v/>
      </c>
      <c r="M13" s="41">
        <f>$M$9*$M$12</f>
        <v/>
      </c>
    </row>
    <row r="14">
      <c r="D14" s="37" t="n"/>
      <c r="E14" s="37" t="n"/>
      <c r="F14" s="37" t="n"/>
    </row>
    <row r="15">
      <c r="A15" s="43" t="inlineStr">
        <is>
          <t>D&amp;A</t>
        </is>
      </c>
      <c r="B15" s="4" t="inlineStr">
        <is>
          <t>Ammortamenti</t>
        </is>
      </c>
      <c r="C15" s="2" t="inlineStr">
        <is>
          <t>USD</t>
        </is>
      </c>
      <c r="D15" s="44">
        <f>-$D$9*da_pct_revenue</f>
        <v/>
      </c>
      <c r="E15" s="44">
        <f>-$E$9*da_pct_revenue</f>
        <v/>
      </c>
      <c r="F15" s="44">
        <f>-$F$9*da_pct_revenue</f>
        <v/>
      </c>
      <c r="G15" s="41">
        <f>-$G$9*da_pct_revenue</f>
        <v/>
      </c>
      <c r="H15" s="41">
        <f>-$H$9*da_pct_revenue</f>
        <v/>
      </c>
      <c r="I15" s="41">
        <f>-$I$9*da_pct_revenue</f>
        <v/>
      </c>
      <c r="J15" s="41">
        <f>-$J$9*da_pct_revenue</f>
        <v/>
      </c>
      <c r="K15" s="41">
        <f>-$K$9*da_pct_revenue</f>
        <v/>
      </c>
      <c r="L15" s="41">
        <f>-$L$9*da_pct_revenue</f>
        <v/>
      </c>
      <c r="M15" s="41">
        <f>-$M$9*da_pct_revenue</f>
        <v/>
      </c>
    </row>
    <row r="16">
      <c r="A16" s="3" t="inlineStr">
        <is>
          <t>EBIT</t>
        </is>
      </c>
      <c r="B16" s="4" t="inlineStr">
        <is>
          <t>EBIT</t>
        </is>
      </c>
      <c r="C16" s="2" t="inlineStr">
        <is>
          <t>USD</t>
        </is>
      </c>
      <c r="D16" s="44">
        <f>$D$13+$D$15</f>
        <v/>
      </c>
      <c r="E16" s="44">
        <f>$E$13+$E$15</f>
        <v/>
      </c>
      <c r="F16" s="44">
        <f>$F$13+$F$15</f>
        <v/>
      </c>
      <c r="G16" s="41">
        <f>$G$13+$G$15</f>
        <v/>
      </c>
      <c r="H16" s="41">
        <f>$H$13+$H$15</f>
        <v/>
      </c>
      <c r="I16" s="41">
        <f>$I$13+$I$15</f>
        <v/>
      </c>
      <c r="J16" s="41">
        <f>$J$13+$J$15</f>
        <v/>
      </c>
      <c r="K16" s="41">
        <f>$K$13+$K$15</f>
        <v/>
      </c>
      <c r="L16" s="41">
        <f>$L$13+$L$15</f>
        <v/>
      </c>
      <c r="M16" s="41">
        <f>$M$13+$M$15</f>
        <v/>
      </c>
    </row>
    <row r="17">
      <c r="D17" s="37" t="n"/>
      <c r="E17" s="37" t="n"/>
      <c r="F17" s="37" t="n"/>
    </row>
    <row r="18">
      <c r="A18" s="43" t="inlineStr">
        <is>
          <t>Interest expense</t>
        </is>
      </c>
      <c r="B18" s="4" t="inlineStr">
        <is>
          <t>Oneri finanziari</t>
        </is>
      </c>
      <c r="C18" s="2" t="inlineStr">
        <is>
          <t>USD</t>
        </is>
      </c>
      <c r="D18" s="45">
        <f>'DebtSchedule'!D60</f>
        <v/>
      </c>
      <c r="E18" s="45">
        <f>'DebtSchedule'!E60</f>
        <v/>
      </c>
      <c r="F18" s="45">
        <f>'DebtSchedule'!F60</f>
        <v/>
      </c>
      <c r="G18" s="46">
        <f>'DebtSchedule'!G60</f>
        <v/>
      </c>
      <c r="H18" s="46">
        <f>'DebtSchedule'!H60</f>
        <v/>
      </c>
      <c r="I18" s="46">
        <f>'DebtSchedule'!I60</f>
        <v/>
      </c>
      <c r="J18" s="46">
        <f>'DebtSchedule'!J60</f>
        <v/>
      </c>
      <c r="K18" s="46">
        <f>'DebtSchedule'!K60</f>
        <v/>
      </c>
      <c r="L18" s="46">
        <f>'DebtSchedule'!L60</f>
        <v/>
      </c>
      <c r="M18" s="46">
        <f>'DebtSchedule'!M60</f>
        <v/>
      </c>
    </row>
    <row r="19">
      <c r="A19" s="3" t="inlineStr">
        <is>
          <t>Profit before tax</t>
        </is>
      </c>
      <c r="B19" s="4" t="inlineStr">
        <is>
          <t>Utile ante imposte</t>
        </is>
      </c>
      <c r="C19" s="2" t="inlineStr">
        <is>
          <t>USD</t>
        </is>
      </c>
      <c r="D19" s="44">
        <f>$D$16+$D$18</f>
        <v/>
      </c>
      <c r="E19" s="44">
        <f>$E$16+$E$18</f>
        <v/>
      </c>
      <c r="F19" s="44">
        <f>$F$16+$F$18</f>
        <v/>
      </c>
      <c r="G19" s="41">
        <f>$G$16+$G$18</f>
        <v/>
      </c>
      <c r="H19" s="41">
        <f>$H$16+$H$18</f>
        <v/>
      </c>
      <c r="I19" s="41">
        <f>$I$16+$I$18</f>
        <v/>
      </c>
      <c r="J19" s="41">
        <f>$J$16+$J$18</f>
        <v/>
      </c>
      <c r="K19" s="41">
        <f>$K$16+$K$18</f>
        <v/>
      </c>
      <c r="L19" s="41">
        <f>$L$16+$L$18</f>
        <v/>
      </c>
      <c r="M19" s="41">
        <f>$M$16+$M$18</f>
        <v/>
      </c>
    </row>
    <row r="20">
      <c r="A20" s="43" t="inlineStr">
        <is>
          <t>Taxes</t>
        </is>
      </c>
      <c r="B20" s="4" t="inlineStr">
        <is>
          <t>Imposte</t>
        </is>
      </c>
      <c r="C20" s="2" t="inlineStr">
        <is>
          <t>USD</t>
        </is>
      </c>
      <c r="D20" s="44">
        <f>-MAX($D$19,0)*effective_tax_rate</f>
        <v/>
      </c>
      <c r="E20" s="44">
        <f>-MAX($E$19,0)*effective_tax_rate</f>
        <v/>
      </c>
      <c r="F20" s="44">
        <f>-MAX($F$19,0)*effective_tax_rate</f>
        <v/>
      </c>
      <c r="G20" s="41">
        <f>-MAX($G$19,0)*effective_tax_rate</f>
        <v/>
      </c>
      <c r="H20" s="41">
        <f>-MAX($H$19,0)*effective_tax_rate</f>
        <v/>
      </c>
      <c r="I20" s="41">
        <f>-MAX($I$19,0)*effective_tax_rate</f>
        <v/>
      </c>
      <c r="J20" s="41">
        <f>-MAX($J$19,0)*effective_tax_rate</f>
        <v/>
      </c>
      <c r="K20" s="41">
        <f>-MAX($K$19,0)*effective_tax_rate</f>
        <v/>
      </c>
      <c r="L20" s="41">
        <f>-MAX($L$19,0)*effective_tax_rate</f>
        <v/>
      </c>
      <c r="M20" s="41">
        <f>-MAX($M$19,0)*effective_tax_rate</f>
        <v/>
      </c>
    </row>
    <row r="21">
      <c r="A21" s="3" t="inlineStr">
        <is>
          <t>Net income</t>
        </is>
      </c>
      <c r="B21" s="4" t="inlineStr">
        <is>
          <t>Utile netto</t>
        </is>
      </c>
      <c r="C21" s="2" t="inlineStr">
        <is>
          <t>USD</t>
        </is>
      </c>
      <c r="D21" s="81">
        <f>$D$19+$D$20</f>
        <v/>
      </c>
      <c r="E21" s="81">
        <f>$E$19+$E$20</f>
        <v/>
      </c>
      <c r="F21" s="81">
        <f>$F$19+$F$20</f>
        <v/>
      </c>
      <c r="G21" s="82">
        <f>$G$19+$G$20</f>
        <v/>
      </c>
      <c r="H21" s="82">
        <f>$H$19+$H$20</f>
        <v/>
      </c>
      <c r="I21" s="82">
        <f>$I$19+$I$20</f>
        <v/>
      </c>
      <c r="J21" s="82">
        <f>$J$19+$J$20</f>
        <v/>
      </c>
      <c r="K21" s="82">
        <f>$K$19+$K$20</f>
        <v/>
      </c>
      <c r="L21" s="82">
        <f>$L$19+$L$20</f>
        <v/>
      </c>
      <c r="M21" s="82">
        <f>$M$19+$M$20</f>
        <v/>
      </c>
    </row>
    <row r="22">
      <c r="D22" s="37" t="n"/>
      <c r="E22" s="37" t="n"/>
      <c r="F22" s="37" t="n"/>
    </row>
    <row r="23">
      <c r="A23" s="7" t="inlineStr">
        <is>
          <t>Cash flow to debt</t>
        </is>
      </c>
      <c r="B23" s="8" t="inlineStr">
        <is>
          <t>Flusso di cassa al debito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3" t="inlineStr">
        <is>
          <t>Maintenance capex</t>
        </is>
      </c>
      <c r="B24" s="4" t="inlineStr">
        <is>
          <t>Capex manutenzione</t>
        </is>
      </c>
      <c r="C24" s="2" t="inlineStr">
        <is>
          <t>USD</t>
        </is>
      </c>
      <c r="D24" s="44">
        <f>-$D$9*maintenance_capex_pct_revenue</f>
        <v/>
      </c>
      <c r="E24" s="44">
        <f>-$E$9*maintenance_capex_pct_revenue</f>
        <v/>
      </c>
      <c r="F24" s="44">
        <f>-$F$9*maintenance_capex_pct_revenue</f>
        <v/>
      </c>
      <c r="G24" s="41">
        <f>-$G$9*maintenance_capex_pct_revenue</f>
        <v/>
      </c>
      <c r="H24" s="41">
        <f>-$H$9*maintenance_capex_pct_revenue</f>
        <v/>
      </c>
      <c r="I24" s="41">
        <f>-$I$9*maintenance_capex_pct_revenue</f>
        <v/>
      </c>
      <c r="J24" s="41">
        <f>-$J$9*maintenance_capex_pct_revenue</f>
        <v/>
      </c>
      <c r="K24" s="41">
        <f>-$K$9*maintenance_capex_pct_revenue</f>
        <v/>
      </c>
      <c r="L24" s="41">
        <f>-$L$9*maintenance_capex_pct_revenue</f>
        <v/>
      </c>
      <c r="M24" s="41">
        <f>-$M$9*maintenance_capex_pct_revenue</f>
        <v/>
      </c>
    </row>
    <row r="25">
      <c r="A25" s="43" t="inlineStr">
        <is>
          <t>Growth capex</t>
        </is>
      </c>
      <c r="B25" s="4" t="inlineStr">
        <is>
          <t>Capex crescita</t>
        </is>
      </c>
      <c r="C25" s="2" t="inlineStr">
        <is>
          <t>USD</t>
        </is>
      </c>
      <c r="D25" s="44">
        <f>-$D$9*growth_capex_pct_revenue</f>
        <v/>
      </c>
      <c r="E25" s="44">
        <f>-$E$9*growth_capex_pct_revenue</f>
        <v/>
      </c>
      <c r="F25" s="44">
        <f>-$F$9*growth_capex_pct_revenue</f>
        <v/>
      </c>
      <c r="G25" s="41">
        <f>-$G$9*growth_capex_pct_revenue</f>
        <v/>
      </c>
      <c r="H25" s="41">
        <f>-$H$9*growth_capex_pct_revenue</f>
        <v/>
      </c>
      <c r="I25" s="41">
        <f>-$I$9*growth_capex_pct_revenue</f>
        <v/>
      </c>
      <c r="J25" s="41">
        <f>-$J$9*growth_capex_pct_revenue</f>
        <v/>
      </c>
      <c r="K25" s="41">
        <f>-$K$9*growth_capex_pct_revenue</f>
        <v/>
      </c>
      <c r="L25" s="41">
        <f>-$L$9*growth_capex_pct_revenue</f>
        <v/>
      </c>
      <c r="M25" s="41">
        <f>-$M$9*growth_capex_pct_revenue</f>
        <v/>
      </c>
    </row>
    <row r="26">
      <c r="A26" s="3" t="inlineStr">
        <is>
          <t>Total capex</t>
        </is>
      </c>
      <c r="B26" s="4" t="inlineStr">
        <is>
          <t>Capex totale</t>
        </is>
      </c>
      <c r="C26" s="2" t="inlineStr">
        <is>
          <t>USD</t>
        </is>
      </c>
      <c r="D26" s="44">
        <f>$D$24+$D$25</f>
        <v/>
      </c>
      <c r="E26" s="44">
        <f>$E$24+$E$25</f>
        <v/>
      </c>
      <c r="F26" s="44">
        <f>$F$24+$F$25</f>
        <v/>
      </c>
      <c r="G26" s="41">
        <f>$G$24+$G$25</f>
        <v/>
      </c>
      <c r="H26" s="41">
        <f>$H$24+$H$25</f>
        <v/>
      </c>
      <c r="I26" s="41">
        <f>$I$24+$I$25</f>
        <v/>
      </c>
      <c r="J26" s="41">
        <f>$J$24+$J$25</f>
        <v/>
      </c>
      <c r="K26" s="41">
        <f>$K$24+$K$25</f>
        <v/>
      </c>
      <c r="L26" s="41">
        <f>$L$24+$L$25</f>
        <v/>
      </c>
      <c r="M26" s="41">
        <f>$M$24+$M$25</f>
        <v/>
      </c>
    </row>
    <row r="27">
      <c r="A27" s="43" t="inlineStr">
        <is>
          <t>Δ Net working capital</t>
        </is>
      </c>
      <c r="B27" s="4" t="inlineStr">
        <is>
          <t>Δ Capitale circolante</t>
        </is>
      </c>
      <c r="C27" s="2" t="inlineStr">
        <is>
          <t>USD</t>
        </is>
      </c>
      <c r="D27" s="40" t="n">
        <v>0</v>
      </c>
      <c r="E27" s="44">
        <f>-($E$9-$D$9)*nwc_pct_revenue_delta</f>
        <v/>
      </c>
      <c r="F27" s="44">
        <f>-($F$9-$E$9)*nwc_pct_revenue_delta</f>
        <v/>
      </c>
      <c r="G27" s="41">
        <f>-($G$9-$F$9)*nwc_pct_revenue_delta</f>
        <v/>
      </c>
      <c r="H27" s="41">
        <f>-($H$9-$G$9)*nwc_pct_revenue_delta</f>
        <v/>
      </c>
      <c r="I27" s="41">
        <f>-($I$9-$H$9)*nwc_pct_revenue_delta</f>
        <v/>
      </c>
      <c r="J27" s="41">
        <f>-($J$9-$I$9)*nwc_pct_revenue_delta</f>
        <v/>
      </c>
      <c r="K27" s="41">
        <f>-($K$9-$J$9)*nwc_pct_revenue_delta</f>
        <v/>
      </c>
      <c r="L27" s="41">
        <f>-($L$9-$K$9)*nwc_pct_revenue_delta</f>
        <v/>
      </c>
      <c r="M27" s="41">
        <f>-($M$9-$L$9)*nwc_pct_revenue_delta</f>
        <v/>
      </c>
    </row>
    <row r="28">
      <c r="A28" s="3" t="inlineStr">
        <is>
          <t>Free cash flow to debt</t>
        </is>
      </c>
      <c r="B28" s="4" t="inlineStr">
        <is>
          <t>FCF al debito</t>
        </is>
      </c>
      <c r="C28" s="2" t="inlineStr">
        <is>
          <t>USD</t>
        </is>
      </c>
      <c r="D28" s="81">
        <f>$D$13+$D$20+$D$26+$D$27+$D$18</f>
        <v/>
      </c>
      <c r="E28" s="81">
        <f>$E$13+$E$20+$E$26+$E$27+$E$18</f>
        <v/>
      </c>
      <c r="F28" s="81">
        <f>$F$13+$F$20+$F$26+$F$27+$F$18</f>
        <v/>
      </c>
      <c r="G28" s="82">
        <f>$G$13+$G$20+$G$26+$G$27+$G$18</f>
        <v/>
      </c>
      <c r="H28" s="82">
        <f>$H$13+$H$20+$H$26+$H$27+$H$18</f>
        <v/>
      </c>
      <c r="I28" s="82">
        <f>$I$13+$I$20+$I$26+$I$27+$I$18</f>
        <v/>
      </c>
      <c r="J28" s="82">
        <f>$J$13+$J$20+$J$26+$J$27+$J$18</f>
        <v/>
      </c>
      <c r="K28" s="82">
        <f>$K$13+$K$20+$K$26+$K$27+$K$18</f>
        <v/>
      </c>
      <c r="L28" s="82">
        <f>$L$13+$L$20+$L$26+$L$27+$L$18</f>
        <v/>
      </c>
      <c r="M28" s="82">
        <f>$M$13+$M$20+$M$26+$M$27+$M$18</f>
        <v/>
      </c>
    </row>
    <row r="29">
      <c r="D29" s="37" t="n"/>
      <c r="E29" s="37" t="n"/>
      <c r="F29" s="37" t="n"/>
    </row>
    <row r="30">
      <c r="D30" s="37" t="n"/>
      <c r="E30" s="37" t="n"/>
      <c r="F30" s="37" t="n"/>
    </row>
    <row r="31">
      <c r="D31" s="37" t="n"/>
      <c r="E31" s="37" t="n"/>
      <c r="F31" s="37" t="n"/>
    </row>
    <row r="32">
      <c r="D32" s="37" t="n"/>
      <c r="E32" s="37" t="n"/>
      <c r="F32" s="37" t="n"/>
    </row>
    <row r="33">
      <c r="D33" s="37" t="n"/>
      <c r="E33" s="37" t="n"/>
      <c r="F33" s="37" t="n"/>
    </row>
    <row r="34">
      <c r="D34" s="37" t="n"/>
      <c r="E34" s="37" t="n"/>
      <c r="F34" s="37" t="n"/>
    </row>
    <row r="35">
      <c r="D35" s="37" t="n"/>
      <c r="E35" s="37" t="n"/>
      <c r="F35" s="37" t="n"/>
    </row>
    <row r="36">
      <c r="D36" s="37" t="n"/>
      <c r="E36" s="37" t="n"/>
      <c r="F36" s="37" t="n"/>
    </row>
    <row r="37">
      <c r="D37" s="37" t="n"/>
      <c r="E37" s="37" t="n"/>
      <c r="F37" s="37" t="n"/>
    </row>
    <row r="38">
      <c r="D38" s="37" t="n"/>
      <c r="E38" s="37" t="n"/>
      <c r="F38" s="37" t="n"/>
    </row>
    <row r="39">
      <c r="D39" s="37" t="n"/>
      <c r="E39" s="37" t="n"/>
      <c r="F39" s="37" t="n"/>
    </row>
    <row r="40">
      <c r="D40" s="37" t="n"/>
      <c r="E40" s="37" t="n"/>
      <c r="F40" s="37" t="n"/>
    </row>
    <row r="41">
      <c r="D41" s="37" t="n"/>
      <c r="E41" s="37" t="n"/>
      <c r="F41" s="37" t="n"/>
    </row>
    <row r="42">
      <c r="D42" s="37" t="n"/>
      <c r="E42" s="37" t="n"/>
      <c r="F42" s="37" t="n"/>
    </row>
    <row r="43">
      <c r="D43" s="37" t="n"/>
      <c r="E43" s="37" t="n"/>
      <c r="F43" s="37" t="n"/>
    </row>
    <row r="44">
      <c r="D44" s="37" t="n"/>
      <c r="E44" s="37" t="n"/>
      <c r="F44" s="37" t="n"/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Debt Schedule</t>
        </is>
      </c>
      <c r="B1" s="2" t="inlineStr">
        <is>
          <t>Piano del debito</t>
        </is>
      </c>
    </row>
    <row r="2">
      <c r="A2" s="2" t="inlineStr">
        <is>
          <t>USD millions · average-balance interest convention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5">
      <c r="D5" s="12" t="inlineStr">
        <is>
          <t>A 2023</t>
        </is>
      </c>
      <c r="E5" s="12" t="inlineStr">
        <is>
          <t>A 2024</t>
        </is>
      </c>
      <c r="F5" s="12" t="inlineStr">
        <is>
          <t>A 2025</t>
        </is>
      </c>
      <c r="G5" s="12" t="inlineStr">
        <is>
          <t>E 2026</t>
        </is>
      </c>
      <c r="H5" s="12" t="inlineStr">
        <is>
          <t>E 2027</t>
        </is>
      </c>
      <c r="I5" s="12" t="inlineStr">
        <is>
          <t>E 2028</t>
        </is>
      </c>
      <c r="J5" s="12" t="inlineStr">
        <is>
          <t>E 2029</t>
        </is>
      </c>
      <c r="K5" s="12" t="inlineStr">
        <is>
          <t>E 2030</t>
        </is>
      </c>
      <c r="L5" s="12" t="inlineStr">
        <is>
          <t>E 2031</t>
        </is>
      </c>
      <c r="M5" s="12" t="inlineStr">
        <is>
          <t>E 2032</t>
        </is>
      </c>
    </row>
    <row r="7">
      <c r="A7" s="7" t="inlineStr">
        <is>
          <t>Tranche — Senior Term Loan</t>
        </is>
      </c>
      <c r="B7" s="8" t="inlineStr">
        <is>
          <t>Term Loan Senior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Opening debt</t>
        </is>
      </c>
      <c r="B8" s="4" t="inlineStr">
        <is>
          <t>Debito iniziale</t>
        </is>
      </c>
      <c r="C8" s="2" t="inlineStr">
        <is>
          <t>USD</t>
        </is>
      </c>
      <c r="D8" s="41">
        <f>0</f>
        <v/>
      </c>
      <c r="E8" s="41">
        <f>$D$11</f>
        <v/>
      </c>
      <c r="F8" s="41">
        <f>$E$11</f>
        <v/>
      </c>
      <c r="G8" s="41">
        <f>$F$11</f>
        <v/>
      </c>
      <c r="H8" s="41">
        <f>$G$11</f>
        <v/>
      </c>
      <c r="I8" s="41">
        <f>$H$11</f>
        <v/>
      </c>
      <c r="J8" s="41">
        <f>$I$11</f>
        <v/>
      </c>
      <c r="K8" s="41">
        <f>$J$11</f>
        <v/>
      </c>
      <c r="L8" s="41">
        <f>$K$11</f>
        <v/>
      </c>
      <c r="M8" s="41">
        <f>$L$11</f>
        <v/>
      </c>
    </row>
    <row r="9">
      <c r="A9" s="43" t="inlineStr">
        <is>
          <t>Drawdown</t>
        </is>
      </c>
      <c r="B9" s="4" t="inlineStr">
        <is>
          <t>Erogazione</t>
        </is>
      </c>
      <c r="C9" s="2" t="inlineStr">
        <is>
          <t>USD</t>
        </is>
      </c>
      <c r="D9" s="41">
        <f>0</f>
        <v/>
      </c>
      <c r="E9" s="41">
        <f>0</f>
        <v/>
      </c>
      <c r="F9" s="41">
        <f>0</f>
        <v/>
      </c>
      <c r="G9" s="46">
        <f>senior_tl_amount</f>
        <v/>
      </c>
      <c r="H9" s="41">
        <f>0</f>
        <v/>
      </c>
      <c r="I9" s="41">
        <f>0</f>
        <v/>
      </c>
      <c r="J9" s="41">
        <f>0</f>
        <v/>
      </c>
      <c r="K9" s="41">
        <f>0</f>
        <v/>
      </c>
      <c r="L9" s="41">
        <f>0</f>
        <v/>
      </c>
      <c r="M9" s="41">
        <f>0</f>
        <v/>
      </c>
    </row>
    <row r="10">
      <c r="A10" s="43" t="inlineStr">
        <is>
          <t>Scheduled amortization</t>
        </is>
      </c>
      <c r="B10" s="4" t="inlineStr">
        <is>
          <t>Ammortamento</t>
        </is>
      </c>
      <c r="C10" s="2" t="inlineStr">
        <is>
          <t>USD</t>
        </is>
      </c>
      <c r="D10" s="41">
        <f>0</f>
        <v/>
      </c>
      <c r="E10" s="41">
        <f>0</f>
        <v/>
      </c>
      <c r="F10" s="41">
        <f>0</f>
        <v/>
      </c>
      <c r="G10" s="41">
        <f>0</f>
        <v/>
      </c>
      <c r="H10" s="41">
        <f>0</f>
        <v/>
      </c>
      <c r="I10" s="41">
        <f>0</f>
        <v/>
      </c>
      <c r="J10" s="41">
        <f>0</f>
        <v/>
      </c>
      <c r="K10" s="41">
        <f>0</f>
        <v/>
      </c>
      <c r="L10" s="41">
        <f>0</f>
        <v/>
      </c>
      <c r="M10" s="41">
        <f>-$M$8</f>
        <v/>
      </c>
    </row>
    <row r="11">
      <c r="A11" s="3" t="inlineStr">
        <is>
          <t>Closing debt</t>
        </is>
      </c>
      <c r="B11" s="4" t="inlineStr">
        <is>
          <t>Debito finale</t>
        </is>
      </c>
      <c r="C11" s="2" t="inlineStr">
        <is>
          <t>USD</t>
        </is>
      </c>
      <c r="D11" s="82">
        <f>$D$8+$D$9+$D$10</f>
        <v/>
      </c>
      <c r="E11" s="82">
        <f>$E$8+$E$9+$E$10</f>
        <v/>
      </c>
      <c r="F11" s="82">
        <f>$F$8+$F$9+$F$10</f>
        <v/>
      </c>
      <c r="G11" s="82">
        <f>$G$8+$G$9+$G$10</f>
        <v/>
      </c>
      <c r="H11" s="82">
        <f>$H$8+$H$9+$H$10</f>
        <v/>
      </c>
      <c r="I11" s="82">
        <f>$I$8+$I$9+$I$10</f>
        <v/>
      </c>
      <c r="J11" s="82">
        <f>$J$8+$J$9+$J$10</f>
        <v/>
      </c>
      <c r="K11" s="82">
        <f>$K$8+$K$9+$K$10</f>
        <v/>
      </c>
      <c r="L11" s="82">
        <f>$L$8+$L$9+$L$10</f>
        <v/>
      </c>
      <c r="M11" s="82">
        <f>$M$8+$M$9+$M$10</f>
        <v/>
      </c>
    </row>
    <row r="12">
      <c r="A12" s="43" t="inlineStr">
        <is>
          <t>Average debt</t>
        </is>
      </c>
      <c r="B12" s="4" t="inlineStr">
        <is>
          <t>Debito medio</t>
        </is>
      </c>
      <c r="C12" s="2" t="inlineStr">
        <is>
          <t>USD</t>
        </is>
      </c>
      <c r="D12" s="41">
        <f>($D$8+$D$11)/2</f>
        <v/>
      </c>
      <c r="E12" s="41">
        <f>($E$8+$E$11)/2</f>
        <v/>
      </c>
      <c r="F12" s="41">
        <f>($F$8+$F$11)/2</f>
        <v/>
      </c>
      <c r="G12" s="41">
        <f>($G$8+$G$11)/2</f>
        <v/>
      </c>
      <c r="H12" s="41">
        <f>($H$8+$H$11)/2</f>
        <v/>
      </c>
      <c r="I12" s="41">
        <f>($I$8+$I$11)/2</f>
        <v/>
      </c>
      <c r="J12" s="41">
        <f>($J$8+$J$11)/2</f>
        <v/>
      </c>
      <c r="K12" s="41">
        <f>($K$8+$K$11)/2</f>
        <v/>
      </c>
      <c r="L12" s="41">
        <f>($L$8+$L$11)/2</f>
        <v/>
      </c>
      <c r="M12" s="41">
        <f>($M$8+$M$11)/2</f>
        <v/>
      </c>
    </row>
    <row r="13">
      <c r="A13" s="43" t="inlineStr">
        <is>
          <t>All-in rate</t>
        </is>
      </c>
      <c r="B13" s="4" t="inlineStr">
        <is>
          <t>Tasso all-in</t>
        </is>
      </c>
      <c r="C13" s="2" t="inlineStr">
        <is>
          <t>%</t>
        </is>
      </c>
      <c r="D13" s="49">
        <f>MAX(sofr_rate,senior_tl_floor)+(senior_tl_margin_bps/10000)</f>
        <v/>
      </c>
      <c r="E13" s="49">
        <f>MAX(sofr_rate,senior_tl_floor)+(senior_tl_margin_bps/10000)</f>
        <v/>
      </c>
      <c r="F13" s="49">
        <f>MAX(sofr_rate,senior_tl_floor)+(senior_tl_margin_bps/10000)</f>
        <v/>
      </c>
      <c r="G13" s="49">
        <f>MAX(sofr_rate,senior_tl_floor)+(senior_tl_margin_bps/10000)</f>
        <v/>
      </c>
      <c r="H13" s="49">
        <f>MAX(sofr_rate,senior_tl_floor)+(senior_tl_margin_bps/10000)</f>
        <v/>
      </c>
      <c r="I13" s="49">
        <f>MAX(sofr_rate,senior_tl_floor)+(senior_tl_margin_bps/10000)</f>
        <v/>
      </c>
      <c r="J13" s="49">
        <f>MAX(sofr_rate,senior_tl_floor)+(senior_tl_margin_bps/10000)</f>
        <v/>
      </c>
      <c r="K13" s="49">
        <f>MAX(sofr_rate,senior_tl_floor)+(senior_tl_margin_bps/10000)</f>
        <v/>
      </c>
      <c r="L13" s="49">
        <f>MAX(sofr_rate,senior_tl_floor)+(senior_tl_margin_bps/10000)</f>
        <v/>
      </c>
      <c r="M13" s="49">
        <f>MAX(sofr_rate,senior_tl_floor)+(senior_tl_margin_bps/10000)</f>
        <v/>
      </c>
    </row>
    <row r="14">
      <c r="A14" s="3" t="inlineStr">
        <is>
          <t>Cash interest</t>
        </is>
      </c>
      <c r="B14" s="4" t="inlineStr">
        <is>
          <t>Interessi cassa</t>
        </is>
      </c>
      <c r="C14" s="2" t="inlineStr">
        <is>
          <t>USD</t>
        </is>
      </c>
      <c r="D14" s="76">
        <f>-$D$8*$D$13</f>
        <v/>
      </c>
      <c r="E14" s="76">
        <f>-$E$8*$E$13</f>
        <v/>
      </c>
      <c r="F14" s="76">
        <f>-$F$8*$F$13</f>
        <v/>
      </c>
      <c r="G14" s="76">
        <f>-$G$8*$G$13</f>
        <v/>
      </c>
      <c r="H14" s="76">
        <f>-$H$8*$H$13</f>
        <v/>
      </c>
      <c r="I14" s="76">
        <f>-$I$8*$I$13</f>
        <v/>
      </c>
      <c r="J14" s="76">
        <f>-$J$8*$J$13</f>
        <v/>
      </c>
      <c r="K14" s="76">
        <f>-$K$8*$K$13</f>
        <v/>
      </c>
      <c r="L14" s="76">
        <f>-$L$8*$L$13</f>
        <v/>
      </c>
      <c r="M14" s="76">
        <f>-$M$8*$M$13</f>
        <v/>
      </c>
    </row>
    <row r="15">
      <c r="A15" s="43" t="inlineStr">
        <is>
          <t>Arrangement fee</t>
        </is>
      </c>
      <c r="B15" s="4" t="inlineStr">
        <is>
          <t>Commissione di strutturazione</t>
        </is>
      </c>
      <c r="C15" s="2" t="inlineStr">
        <is>
          <t>USD</t>
        </is>
      </c>
      <c r="D15" s="41">
        <f>0</f>
        <v/>
      </c>
      <c r="E15" s="41">
        <f>0</f>
        <v/>
      </c>
      <c r="F15" s="41">
        <f>0</f>
        <v/>
      </c>
      <c r="G15" s="41">
        <f>senior_tl_amount*senior_tl_arrangement_fee</f>
        <v/>
      </c>
      <c r="H15" s="41">
        <f>0</f>
        <v/>
      </c>
      <c r="I15" s="41">
        <f>0</f>
        <v/>
      </c>
      <c r="J15" s="41">
        <f>0</f>
        <v/>
      </c>
      <c r="K15" s="41">
        <f>0</f>
        <v/>
      </c>
      <c r="L15" s="41">
        <f>0</f>
        <v/>
      </c>
      <c r="M15" s="41">
        <f>0</f>
        <v/>
      </c>
    </row>
    <row r="17">
      <c r="A17" s="7" t="inlineStr">
        <is>
          <t>Tranche — Mezzanine Notes</t>
        </is>
      </c>
      <c r="B17" s="8" t="inlineStr">
        <is>
          <t>Note Mezzanine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Opening debt</t>
        </is>
      </c>
      <c r="B18" s="4" t="inlineStr">
        <is>
          <t>Debito iniziale</t>
        </is>
      </c>
      <c r="C18" s="2" t="inlineStr">
        <is>
          <t>USD</t>
        </is>
      </c>
      <c r="D18" s="41">
        <f>0</f>
        <v/>
      </c>
      <c r="E18" s="41">
        <f>$D$21</f>
        <v/>
      </c>
      <c r="F18" s="41">
        <f>$E$21</f>
        <v/>
      </c>
      <c r="G18" s="41">
        <f>$F$21</f>
        <v/>
      </c>
      <c r="H18" s="41">
        <f>$G$21</f>
        <v/>
      </c>
      <c r="I18" s="41">
        <f>$H$21</f>
        <v/>
      </c>
      <c r="J18" s="41">
        <f>$I$21</f>
        <v/>
      </c>
      <c r="K18" s="41">
        <f>$J$21</f>
        <v/>
      </c>
      <c r="L18" s="41">
        <f>$K$21</f>
        <v/>
      </c>
      <c r="M18" s="41">
        <f>$L$21</f>
        <v/>
      </c>
    </row>
    <row r="19">
      <c r="A19" s="43" t="inlineStr">
        <is>
          <t>Drawdown</t>
        </is>
      </c>
      <c r="B19" s="4" t="inlineStr">
        <is>
          <t>Erogazione</t>
        </is>
      </c>
      <c r="C19" s="2" t="inlineStr">
        <is>
          <t>USD</t>
        </is>
      </c>
      <c r="D19" s="41">
        <f>0</f>
        <v/>
      </c>
      <c r="E19" s="41">
        <f>0</f>
        <v/>
      </c>
      <c r="F19" s="41">
        <f>0</f>
        <v/>
      </c>
      <c r="G19" s="46">
        <f>mezz_amount</f>
        <v/>
      </c>
      <c r="H19" s="41">
        <f>0</f>
        <v/>
      </c>
      <c r="I19" s="41">
        <f>0</f>
        <v/>
      </c>
      <c r="J19" s="41">
        <f>0</f>
        <v/>
      </c>
      <c r="K19" s="41">
        <f>0</f>
        <v/>
      </c>
      <c r="L19" s="41">
        <f>0</f>
        <v/>
      </c>
      <c r="M19" s="41">
        <f>0</f>
        <v/>
      </c>
    </row>
    <row r="20">
      <c r="A20" s="43" t="inlineStr">
        <is>
          <t>Scheduled amortization</t>
        </is>
      </c>
      <c r="B20" s="4" t="inlineStr">
        <is>
          <t>Ammortamento</t>
        </is>
      </c>
      <c r="C20" s="2" t="inlineStr">
        <is>
          <t>USD</t>
        </is>
      </c>
      <c r="D20" s="41">
        <f>0</f>
        <v/>
      </c>
      <c r="E20" s="41">
        <f>0</f>
        <v/>
      </c>
      <c r="F20" s="41">
        <f>0</f>
        <v/>
      </c>
      <c r="G20" s="41">
        <f>0</f>
        <v/>
      </c>
      <c r="H20" s="41">
        <f>0</f>
        <v/>
      </c>
      <c r="I20" s="41">
        <f>0</f>
        <v/>
      </c>
      <c r="J20" s="41">
        <f>0</f>
        <v/>
      </c>
      <c r="K20" s="41">
        <f>0</f>
        <v/>
      </c>
      <c r="L20" s="41">
        <f>0</f>
        <v/>
      </c>
      <c r="M20" s="41">
        <f>0</f>
        <v/>
      </c>
    </row>
    <row r="21">
      <c r="A21" s="3" t="inlineStr">
        <is>
          <t>Closing debt</t>
        </is>
      </c>
      <c r="B21" s="4" t="inlineStr">
        <is>
          <t>Debito finale</t>
        </is>
      </c>
      <c r="C21" s="2" t="inlineStr">
        <is>
          <t>USD</t>
        </is>
      </c>
      <c r="D21" s="82">
        <f>$D$18+$D$19+$D$20</f>
        <v/>
      </c>
      <c r="E21" s="82">
        <f>$E$18+$E$19+$E$20</f>
        <v/>
      </c>
      <c r="F21" s="82">
        <f>$F$18+$F$19+$F$20</f>
        <v/>
      </c>
      <c r="G21" s="82">
        <f>$G$18+$G$19+$G$20</f>
        <v/>
      </c>
      <c r="H21" s="82">
        <f>$H$18+$H$19+$H$20</f>
        <v/>
      </c>
      <c r="I21" s="82">
        <f>$I$18+$I$19+$I$20</f>
        <v/>
      </c>
      <c r="J21" s="82">
        <f>$J$18+$J$19+$J$20</f>
        <v/>
      </c>
      <c r="K21" s="82">
        <f>$K$18+$K$19+$K$20</f>
        <v/>
      </c>
      <c r="L21" s="82">
        <f>$L$18+$L$19+$L$20</f>
        <v/>
      </c>
      <c r="M21" s="82">
        <f>$M$18+$M$19+$M$20</f>
        <v/>
      </c>
    </row>
    <row r="22">
      <c r="A22" s="43" t="inlineStr">
        <is>
          <t>Average debt</t>
        </is>
      </c>
      <c r="B22" s="4" t="inlineStr">
        <is>
          <t>Debito medio</t>
        </is>
      </c>
      <c r="C22" s="2" t="inlineStr">
        <is>
          <t>USD</t>
        </is>
      </c>
      <c r="D22" s="41">
        <f>($D$18+$D$21)/2</f>
        <v/>
      </c>
      <c r="E22" s="41">
        <f>($E$18+$E$21)/2</f>
        <v/>
      </c>
      <c r="F22" s="41">
        <f>($F$18+$F$21)/2</f>
        <v/>
      </c>
      <c r="G22" s="41">
        <f>($G$18+$G$21)/2</f>
        <v/>
      </c>
      <c r="H22" s="41">
        <f>($H$18+$H$21)/2</f>
        <v/>
      </c>
      <c r="I22" s="41">
        <f>($I$18+$I$21)/2</f>
        <v/>
      </c>
      <c r="J22" s="41">
        <f>($J$18+$J$21)/2</f>
        <v/>
      </c>
      <c r="K22" s="41">
        <f>($K$18+$K$21)/2</f>
        <v/>
      </c>
      <c r="L22" s="41">
        <f>($L$18+$L$21)/2</f>
        <v/>
      </c>
      <c r="M22" s="41">
        <f>($M$18+$M$21)/2</f>
        <v/>
      </c>
    </row>
    <row r="23">
      <c r="A23" s="43" t="inlineStr">
        <is>
          <t>All-in rate</t>
        </is>
      </c>
      <c r="B23" s="4" t="inlineStr">
        <is>
          <t>Tasso all-in</t>
        </is>
      </c>
      <c r="C23" s="2" t="inlineStr">
        <is>
          <t>%</t>
        </is>
      </c>
      <c r="D23" s="49">
        <f>MAX(sofr_rate_mezz,mezz_floor)+(mezz_margin_bps/10000)</f>
        <v/>
      </c>
      <c r="E23" s="49">
        <f>MAX(sofr_rate_mezz,mezz_floor)+(mezz_margin_bps/10000)</f>
        <v/>
      </c>
      <c r="F23" s="49">
        <f>MAX(sofr_rate_mezz,mezz_floor)+(mezz_margin_bps/10000)</f>
        <v/>
      </c>
      <c r="G23" s="49">
        <f>MAX(sofr_rate_mezz,mezz_floor)+(mezz_margin_bps/10000)</f>
        <v/>
      </c>
      <c r="H23" s="49">
        <f>MAX(sofr_rate_mezz,mezz_floor)+(mezz_margin_bps/10000)</f>
        <v/>
      </c>
      <c r="I23" s="49">
        <f>MAX(sofr_rate_mezz,mezz_floor)+(mezz_margin_bps/10000)</f>
        <v/>
      </c>
      <c r="J23" s="49">
        <f>MAX(sofr_rate_mezz,mezz_floor)+(mezz_margin_bps/10000)</f>
        <v/>
      </c>
      <c r="K23" s="49">
        <f>MAX(sofr_rate_mezz,mezz_floor)+(mezz_margin_bps/10000)</f>
        <v/>
      </c>
      <c r="L23" s="49">
        <f>MAX(sofr_rate_mezz,mezz_floor)+(mezz_margin_bps/10000)</f>
        <v/>
      </c>
      <c r="M23" s="49">
        <f>MAX(sofr_rate_mezz,mezz_floor)+(mezz_margin_bps/10000)</f>
        <v/>
      </c>
    </row>
    <row r="24">
      <c r="A24" s="3" t="inlineStr">
        <is>
          <t>Cash interest</t>
        </is>
      </c>
      <c r="B24" s="4" t="inlineStr">
        <is>
          <t>Interessi cassa</t>
        </is>
      </c>
      <c r="C24" s="2" t="inlineStr">
        <is>
          <t>USD</t>
        </is>
      </c>
      <c r="D24" s="76">
        <f>-$D$18*$D$23</f>
        <v/>
      </c>
      <c r="E24" s="76">
        <f>-$E$18*$E$23</f>
        <v/>
      </c>
      <c r="F24" s="76">
        <f>-$F$18*$F$23</f>
        <v/>
      </c>
      <c r="G24" s="76">
        <f>-$G$18*$G$23</f>
        <v/>
      </c>
      <c r="H24" s="76">
        <f>-$H$18*$H$23</f>
        <v/>
      </c>
      <c r="I24" s="76">
        <f>-$I$18*$I$23</f>
        <v/>
      </c>
      <c r="J24" s="76">
        <f>-$J$18*$J$23</f>
        <v/>
      </c>
      <c r="K24" s="76">
        <f>-$K$18*$K$23</f>
        <v/>
      </c>
      <c r="L24" s="76">
        <f>-$L$18*$L$23</f>
        <v/>
      </c>
      <c r="M24" s="76">
        <f>-$M$18*$M$23</f>
        <v/>
      </c>
    </row>
    <row r="25">
      <c r="A25" s="43" t="inlineStr">
        <is>
          <t>Arrangement fee</t>
        </is>
      </c>
      <c r="B25" s="4" t="inlineStr">
        <is>
          <t>Commissione di strutturazione</t>
        </is>
      </c>
      <c r="C25" s="2" t="inlineStr">
        <is>
          <t>USD</t>
        </is>
      </c>
      <c r="D25" s="41">
        <f>0</f>
        <v/>
      </c>
      <c r="E25" s="41">
        <f>0</f>
        <v/>
      </c>
      <c r="F25" s="41">
        <f>0</f>
        <v/>
      </c>
      <c r="G25" s="41">
        <f>mezz_amount*mezz_arrangement_fee</f>
        <v/>
      </c>
      <c r="H25" s="41">
        <f>0</f>
        <v/>
      </c>
      <c r="I25" s="41">
        <f>0</f>
        <v/>
      </c>
      <c r="J25" s="41">
        <f>0</f>
        <v/>
      </c>
      <c r="K25" s="41">
        <f>0</f>
        <v/>
      </c>
      <c r="L25" s="41">
        <f>0</f>
        <v/>
      </c>
      <c r="M25" s="41">
        <f>0</f>
        <v/>
      </c>
    </row>
    <row r="27">
      <c r="A27" s="7" t="inlineStr">
        <is>
          <t>Sources &amp; Uses of Funds</t>
        </is>
      </c>
      <c r="B27" s="8" t="inlineStr">
        <is>
          <t>Fonti e impieghi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17" t="inlineStr">
        <is>
          <t>USES</t>
        </is>
      </c>
    </row>
    <row r="29">
      <c r="A29" s="13" t="inlineStr">
        <is>
          <t>Purchase equity (offer × shares)</t>
        </is>
      </c>
      <c r="D29" s="2" t="inlineStr">
        <is>
          <t>(See DealStructure if available)</t>
        </is>
      </c>
    </row>
    <row r="30">
      <c r="A30" s="13" t="inlineStr">
        <is>
          <t>Refinance existing debt</t>
        </is>
      </c>
      <c r="D30" s="83">
        <f>0</f>
        <v/>
      </c>
    </row>
    <row r="31">
      <c r="A31" s="13" t="inlineStr">
        <is>
          <t>M&amp;A advisory fees (expensed at close)</t>
        </is>
      </c>
      <c r="D31" s="83">
        <f>0</f>
        <v/>
      </c>
    </row>
    <row r="32">
      <c r="A32" s="13" t="inlineStr">
        <is>
          <t>Financing fees (capitalized)</t>
        </is>
      </c>
      <c r="D32" s="83">
        <f>0</f>
        <v/>
      </c>
    </row>
    <row r="33">
      <c r="A33" s="13" t="inlineStr">
        <is>
          <t>OID discount</t>
        </is>
      </c>
      <c r="D33" s="83">
        <f>0</f>
        <v/>
      </c>
    </row>
    <row r="34">
      <c r="A34" s="13" t="inlineStr">
        <is>
          <t>Minimum cash to BS</t>
        </is>
      </c>
      <c r="D34" s="83">
        <f>0</f>
        <v/>
      </c>
    </row>
    <row r="36">
      <c r="A36" s="17" t="inlineStr">
        <is>
          <t>SOURCES</t>
        </is>
      </c>
    </row>
    <row r="37">
      <c r="A37" s="13" t="inlineStr">
        <is>
          <t>New debt raised (all tranches)</t>
        </is>
      </c>
      <c r="D37" s="84">
        <f>$G$11+$G$21</f>
        <v/>
      </c>
    </row>
    <row r="38">
      <c r="A38" s="13" t="inlineStr">
        <is>
          <t>Sponsor equity</t>
        </is>
      </c>
      <c r="D38" s="2" t="inlineStr">
        <is>
          <t>(Balance plug)</t>
        </is>
      </c>
    </row>
    <row r="39">
      <c r="A39" s="13" t="inlineStr">
        <is>
          <t>Management rollover</t>
        </is>
      </c>
      <c r="D39" s="83">
        <f>0</f>
        <v/>
      </c>
    </row>
    <row r="41">
      <c r="A41" s="17" t="inlineStr">
        <is>
          <t>Check: Sources = Uses</t>
        </is>
      </c>
      <c r="D41" s="2" t="inlineStr">
        <is>
          <t>(Sponsor equity plugs the balance — full S&amp;U in v0.8 SponsorLBO)</t>
        </is>
      </c>
    </row>
    <row r="43">
      <c r="A43" s="17" t="inlineStr">
        <is>
          <t>— Additional bulge-tier stubs —</t>
        </is>
      </c>
    </row>
    <row r="44">
      <c r="A44" s="13" t="inlineStr">
        <is>
          <t xml:space="preserve">  • Purchase price build</t>
        </is>
      </c>
      <c r="D44" s="2" t="inlineStr">
        <is>
          <t>Offer premium × FD shares + existing net debt + fees</t>
        </is>
      </c>
    </row>
    <row r="45">
      <c r="A45" s="13" t="inlineStr">
        <is>
          <t xml:space="preserve">  • Goodwill created (PPA)</t>
        </is>
      </c>
      <c r="D45" s="2" t="inlineStr">
        <is>
          <t>Equity price − BV equity − write-ups + DTL</t>
        </is>
      </c>
    </row>
    <row r="46">
      <c r="A46" s="13" t="inlineStr">
        <is>
          <t xml:space="preserve">  • OID amortization schedule</t>
        </is>
      </c>
      <c r="D46" s="2" t="inlineStr">
        <is>
          <t>Straight-line over tenor, CFS addback</t>
        </is>
      </c>
    </row>
    <row r="47">
      <c r="A47" s="13" t="inlineStr">
        <is>
          <t xml:space="preserve">  • PIK toggle (payment-in-kind)</t>
        </is>
      </c>
      <c r="D47" s="2" t="inlineStr">
        <is>
          <t>Accrues to principal if cash insufficient</t>
        </is>
      </c>
    </row>
    <row r="48">
      <c r="A48" s="13" t="inlineStr">
        <is>
          <t xml:space="preserve">  • Revolver facility</t>
        </is>
      </c>
      <c r="D48" s="2" t="inlineStr">
        <is>
          <t>Auto-draw when min cash breached; commitment fee on undrawn</t>
        </is>
      </c>
    </row>
    <row r="49">
      <c r="A49" s="13" t="inlineStr">
        <is>
          <t xml:space="preserve">  • Management rollover / MIP</t>
        </is>
      </c>
      <c r="D49" s="2" t="inlineStr">
        <is>
          <t>4-year vest, 8-12% post-close equity</t>
        </is>
      </c>
    </row>
    <row r="50">
      <c r="A50" s="13" t="inlineStr">
        <is>
          <t xml:space="preserve">  • Dividend recap path</t>
        </is>
      </c>
      <c r="D50" s="2" t="inlineStr">
        <is>
          <t>Refinance to target leverage at year 3</t>
        </is>
      </c>
    </row>
    <row r="51">
      <c r="A51" s="13" t="inlineStr">
        <is>
          <t xml:space="preserve">  • Earnout / CVR</t>
        </is>
      </c>
      <c r="D51" s="2" t="inlineStr">
        <is>
          <t>Contingent consideration at FV</t>
        </is>
      </c>
    </row>
    <row r="52">
      <c r="A52" s="13" t="inlineStr">
        <is>
          <t xml:space="preserve">  • NWC closing adjustment</t>
        </is>
      </c>
      <c r="D52" s="2" t="inlineStr">
        <is>
          <t>Target peg + true-up mechanism</t>
        </is>
      </c>
    </row>
    <row r="53">
      <c r="A53" s="13" t="inlineStr">
        <is>
          <t xml:space="preserve">  • Exit scenarios (3)</t>
        </is>
      </c>
      <c r="D53" s="2" t="inlineStr">
        <is>
          <t>Strategic + IPO + secondary LBO</t>
        </is>
      </c>
    </row>
    <row r="54">
      <c r="A54" s="13" t="inlineStr">
        <is>
          <t xml:space="preserve">  • Hurdle (reverse-solve max price)</t>
        </is>
      </c>
      <c r="D54" s="2" t="inlineStr">
        <is>
          <t>At target 20%/25%/30% IRR</t>
        </is>
      </c>
    </row>
    <row r="55">
      <c r="A55" s="13" t="inlineStr">
        <is>
          <t xml:space="preserve">  • Sponsor GP promote (fund-level)</t>
        </is>
      </c>
      <c r="D55" s="2" t="inlineStr">
        <is>
          <t>Pref 8% + catchup + 20% carry</t>
        </is>
      </c>
    </row>
    <row r="56">
      <c r="A56" s="2" t="inlineStr">
        <is>
          <t>→ Full sponsor-LBO template in v0.8 (SponsorLBOSpec)</t>
        </is>
      </c>
    </row>
    <row r="58">
      <c r="A58" s="7" t="inlineStr">
        <is>
          <t>Totals across tranches</t>
        </is>
      </c>
      <c r="B58" s="8" t="inlineStr">
        <is>
          <t>Totali (tutte le tranche)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3" t="inlineStr">
        <is>
          <t>Total debt outstanding</t>
        </is>
      </c>
      <c r="B59" s="4" t="inlineStr">
        <is>
          <t>Debito totale</t>
        </is>
      </c>
      <c r="C59" s="2" t="inlineStr">
        <is>
          <t>USD</t>
        </is>
      </c>
      <c r="D59" s="76">
        <f>$D$11+$D$21</f>
        <v/>
      </c>
      <c r="E59" s="76">
        <f>$E$11+$E$21</f>
        <v/>
      </c>
      <c r="F59" s="76">
        <f>$F$11+$F$21</f>
        <v/>
      </c>
      <c r="G59" s="76">
        <f>$G$11+$G$21</f>
        <v/>
      </c>
      <c r="H59" s="76">
        <f>$H$11+$H$21</f>
        <v/>
      </c>
      <c r="I59" s="76">
        <f>$I$11+$I$21</f>
        <v/>
      </c>
      <c r="J59" s="76">
        <f>$J$11+$J$21</f>
        <v/>
      </c>
      <c r="K59" s="76">
        <f>$K$11+$K$21</f>
        <v/>
      </c>
      <c r="L59" s="76">
        <f>$L$11+$L$21</f>
        <v/>
      </c>
      <c r="M59" s="76">
        <f>$M$11+$M$21</f>
        <v/>
      </c>
    </row>
    <row r="60">
      <c r="A60" s="3" t="inlineStr">
        <is>
          <t>Total cash interest</t>
        </is>
      </c>
      <c r="B60" s="4" t="inlineStr">
        <is>
          <t>Interessi totali</t>
        </is>
      </c>
      <c r="C60" s="2" t="inlineStr">
        <is>
          <t>USD</t>
        </is>
      </c>
      <c r="D60" s="82">
        <f>$D$14+$D$24</f>
        <v/>
      </c>
      <c r="E60" s="82">
        <f>$E$14+$E$24</f>
        <v/>
      </c>
      <c r="F60" s="82">
        <f>$F$14+$F$24</f>
        <v/>
      </c>
      <c r="G60" s="82">
        <f>$G$14+$G$24</f>
        <v/>
      </c>
      <c r="H60" s="82">
        <f>$H$14+$H$24</f>
        <v/>
      </c>
      <c r="I60" s="82">
        <f>$I$14+$I$24</f>
        <v/>
      </c>
      <c r="J60" s="82">
        <f>$J$14+$J$24</f>
        <v/>
      </c>
      <c r="K60" s="82">
        <f>$K$14+$K$24</f>
        <v/>
      </c>
      <c r="L60" s="82">
        <f>$L$14+$L$24</f>
        <v/>
      </c>
      <c r="M60" s="82">
        <f>$M$14+$M$24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3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Covenants</t>
        </is>
      </c>
      <c r="B1" s="2" t="inlineStr">
        <is>
          <t>Covenant</t>
        </is>
      </c>
    </row>
    <row r="2">
      <c r="A2" s="2" t="inlineStr">
        <is>
          <t>Period-by-period headroom &amp; breach monitor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5">
      <c r="D5" s="12" t="inlineStr">
        <is>
          <t>A 2023</t>
        </is>
      </c>
      <c r="E5" s="12" t="inlineStr">
        <is>
          <t>A 2024</t>
        </is>
      </c>
      <c r="F5" s="12" t="inlineStr">
        <is>
          <t>A 2025</t>
        </is>
      </c>
      <c r="G5" s="12" t="inlineStr">
        <is>
          <t>E 2026</t>
        </is>
      </c>
      <c r="H5" s="12" t="inlineStr">
        <is>
          <t>E 2027</t>
        </is>
      </c>
      <c r="I5" s="12" t="inlineStr">
        <is>
          <t>E 2028</t>
        </is>
      </c>
      <c r="J5" s="12" t="inlineStr">
        <is>
          <t>E 2029</t>
        </is>
      </c>
      <c r="K5" s="12" t="inlineStr">
        <is>
          <t>E 2030</t>
        </is>
      </c>
      <c r="L5" s="12" t="inlineStr">
        <is>
          <t>E 2031</t>
        </is>
      </c>
      <c r="M5" s="12" t="inlineStr">
        <is>
          <t>E 2032</t>
        </is>
      </c>
    </row>
    <row r="7">
      <c r="A7" s="7" t="inlineStr">
        <is>
          <t>Total Net Leverage</t>
        </is>
      </c>
      <c r="B7" s="8" t="inlineStr">
        <is>
          <t>Leva finanziaria netta totale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Leverage (Debt / EBITDA)</t>
        </is>
      </c>
      <c r="B8" s="4" t="inlineStr">
        <is>
          <t>Leva (Debito / EBITDA)</t>
        </is>
      </c>
      <c r="C8" s="2" t="inlineStr">
        <is>
          <t>x</t>
        </is>
      </c>
      <c r="D8" s="51">
        <f>IFERROR('DebtSchedule'!D59/'OperatingModel'!D13,0)</f>
        <v/>
      </c>
      <c r="E8" s="51">
        <f>IFERROR('DebtSchedule'!E59/'OperatingModel'!E13,0)</f>
        <v/>
      </c>
      <c r="F8" s="51">
        <f>IFERROR('DebtSchedule'!F59/'OperatingModel'!F13,0)</f>
        <v/>
      </c>
      <c r="G8" s="51">
        <f>IFERROR('DebtSchedule'!G59/'OperatingModel'!F13,0)</f>
        <v/>
      </c>
      <c r="H8" s="51">
        <f>IFERROR('DebtSchedule'!H59/'OperatingModel'!H13,0)</f>
        <v/>
      </c>
      <c r="I8" s="51">
        <f>IFERROR('DebtSchedule'!I59/'OperatingModel'!I13,0)</f>
        <v/>
      </c>
      <c r="J8" s="51">
        <f>IFERROR('DebtSchedule'!J59/'OperatingModel'!J13,0)</f>
        <v/>
      </c>
      <c r="K8" s="51">
        <f>IFERROR('DebtSchedule'!K59/'OperatingModel'!K13,0)</f>
        <v/>
      </c>
      <c r="L8" s="51">
        <f>IFERROR('DebtSchedule'!L59/'OperatingModel'!L13,0)</f>
        <v/>
      </c>
      <c r="M8" s="51">
        <f>IFERROR('DebtSchedule'!M59/'OperatingModel'!M13,0)</f>
        <v/>
      </c>
    </row>
    <row r="9">
      <c r="A9" s="43" t="inlineStr">
        <is>
          <t>Total Net Leverage — threshold</t>
        </is>
      </c>
      <c r="B9" s="4" t="inlineStr">
        <is>
          <t>Leva finanziaria netta totale — soglia</t>
        </is>
      </c>
      <c r="C9" s="2" t="inlineStr">
        <is>
          <t>x</t>
        </is>
      </c>
      <c r="D9" s="51" t="inlineStr"/>
      <c r="E9" s="51" t="inlineStr"/>
      <c r="F9" s="51" t="inlineStr"/>
      <c r="G9" s="51">
        <f>leverage_threshold_y1</f>
        <v/>
      </c>
      <c r="H9" s="51">
        <f>leverage_threshold_y2</f>
        <v/>
      </c>
      <c r="I9" s="51">
        <f>leverage_threshold_y3</f>
        <v/>
      </c>
      <c r="J9" s="51">
        <f>leverage_threshold_y4</f>
        <v/>
      </c>
      <c r="K9" s="51">
        <f>leverage_threshold_y5</f>
        <v/>
      </c>
      <c r="L9" s="51">
        <f>leverage_threshold_y6</f>
        <v/>
      </c>
      <c r="M9" s="51">
        <f>leverage_threshold_y7</f>
        <v/>
      </c>
    </row>
    <row r="10">
      <c r="A10" s="43" t="inlineStr">
        <is>
          <t>Total Net Leverage — headroom</t>
        </is>
      </c>
      <c r="B10" s="4" t="inlineStr">
        <is>
          <t>Leva finanziaria netta totale — headroom</t>
        </is>
      </c>
      <c r="C10" s="2" t="inlineStr">
        <is>
          <t>%</t>
        </is>
      </c>
      <c r="G10" s="52">
        <f>IFERROR(($G$9-$G$8)/$G$9,0)</f>
        <v/>
      </c>
      <c r="H10" s="52">
        <f>IFERROR(($H$9-$H$8)/$H$9,0)</f>
        <v/>
      </c>
      <c r="I10" s="52">
        <f>IFERROR(($I$9-$I$8)/$I$9,0)</f>
        <v/>
      </c>
      <c r="J10" s="52">
        <f>IFERROR(($J$9-$J$8)/$J$9,0)</f>
        <v/>
      </c>
      <c r="K10" s="52">
        <f>IFERROR(($K$9-$K$8)/$K$9,0)</f>
        <v/>
      </c>
      <c r="L10" s="52">
        <f>IFERROR(($L$9-$L$8)/$L$9,0)</f>
        <v/>
      </c>
      <c r="M10" s="52">
        <f>IFERROR(($M$9-$M$8)/$M$9,0)</f>
        <v/>
      </c>
    </row>
    <row r="11">
      <c r="A11" s="43" t="inlineStr">
        <is>
          <t>Total Net Leverage — breach</t>
        </is>
      </c>
      <c r="B11" s="4" t="inlineStr">
        <is>
          <t>Leva finanziaria netta totale — violazione</t>
        </is>
      </c>
      <c r="C11" s="2" t="inlineStr"/>
      <c r="G11" s="85">
        <f>IF(AND($G$8&gt;$G$9,'DebtSchedule'!G60&lt;-0.01),1,0)</f>
        <v/>
      </c>
      <c r="H11" s="85">
        <f>IF(AND($H$8&gt;$H$9,'DebtSchedule'!H60&lt;-0.01),1,0)</f>
        <v/>
      </c>
      <c r="I11" s="85">
        <f>IF(AND($I$8&gt;$I$9,'DebtSchedule'!I60&lt;-0.01),1,0)</f>
        <v/>
      </c>
      <c r="J11" s="85">
        <f>IF(AND($J$8&gt;$J$9,'DebtSchedule'!J60&lt;-0.01),1,0)</f>
        <v/>
      </c>
      <c r="K11" s="85">
        <f>IF(AND($K$8&gt;$K$9,'DebtSchedule'!K60&lt;-0.01),1,0)</f>
        <v/>
      </c>
      <c r="L11" s="85">
        <f>IF(AND($L$8&gt;$L$9,'DebtSchedule'!L60&lt;-0.01),1,0)</f>
        <v/>
      </c>
      <c r="M11" s="85">
        <f>IF(AND($M$8&gt;$M$9,'DebtSchedule'!M60&lt;-0.01),1,0)</f>
        <v/>
      </c>
    </row>
    <row r="13">
      <c r="A13" s="7" t="inlineStr">
        <is>
          <t>Interest Coverage Ratio</t>
        </is>
      </c>
      <c r="B13" s="8" t="inlineStr">
        <is>
          <t>Rapporto di copertura interessi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3" t="inlineStr">
        <is>
          <t>Interest coverage (EBITDA / Interest)</t>
        </is>
      </c>
      <c r="B14" s="4" t="inlineStr">
        <is>
          <t>ICR (EBITDA / Oneri)</t>
        </is>
      </c>
      <c r="C14" s="2" t="inlineStr">
        <is>
          <t>x</t>
        </is>
      </c>
      <c r="D14" s="51">
        <f>IFERROR('OperatingModel'!D13/ABS('DebtSchedule'!D60),0)</f>
        <v/>
      </c>
      <c r="E14" s="51">
        <f>IFERROR('OperatingModel'!E13/ABS('DebtSchedule'!E60),0)</f>
        <v/>
      </c>
      <c r="F14" s="51">
        <f>IFERROR('OperatingModel'!F13/ABS('DebtSchedule'!F60),0)</f>
        <v/>
      </c>
      <c r="G14" s="51">
        <f>IFERROR('OperatingModel'!G13/ABS('DebtSchedule'!G60),0)</f>
        <v/>
      </c>
      <c r="H14" s="51">
        <f>IFERROR('OperatingModel'!H13/ABS('DebtSchedule'!H60),0)</f>
        <v/>
      </c>
      <c r="I14" s="51">
        <f>IFERROR('OperatingModel'!I13/ABS('DebtSchedule'!I60),0)</f>
        <v/>
      </c>
      <c r="J14" s="51">
        <f>IFERROR('OperatingModel'!J13/ABS('DebtSchedule'!J60),0)</f>
        <v/>
      </c>
      <c r="K14" s="51">
        <f>IFERROR('OperatingModel'!K13/ABS('DebtSchedule'!K60),0)</f>
        <v/>
      </c>
      <c r="L14" s="51">
        <f>IFERROR('OperatingModel'!L13/ABS('DebtSchedule'!L60),0)</f>
        <v/>
      </c>
      <c r="M14" s="51">
        <f>IFERROR('OperatingModel'!M13/ABS('DebtSchedule'!M60),0)</f>
        <v/>
      </c>
    </row>
    <row r="15">
      <c r="A15" s="43" t="inlineStr">
        <is>
          <t>Interest Coverage Ratio — threshold</t>
        </is>
      </c>
      <c r="B15" s="4" t="inlineStr">
        <is>
          <t>Rapporto di copertura interessi — soglia</t>
        </is>
      </c>
      <c r="C15" s="2" t="inlineStr">
        <is>
          <t>x</t>
        </is>
      </c>
      <c r="D15" s="51" t="inlineStr"/>
      <c r="E15" s="51" t="inlineStr"/>
      <c r="F15" s="51" t="inlineStr"/>
      <c r="G15" s="51">
        <f>icr_threshold_y1</f>
        <v/>
      </c>
      <c r="H15" s="51">
        <f>icr_threshold_y2</f>
        <v/>
      </c>
      <c r="I15" s="51">
        <f>icr_threshold_y3</f>
        <v/>
      </c>
      <c r="J15" s="51">
        <f>icr_threshold_y4</f>
        <v/>
      </c>
      <c r="K15" s="51">
        <f>icr_threshold_y5</f>
        <v/>
      </c>
      <c r="L15" s="51">
        <f>icr_threshold_y6</f>
        <v/>
      </c>
      <c r="M15" s="51">
        <f>icr_threshold_y7</f>
        <v/>
      </c>
    </row>
    <row r="16">
      <c r="A16" s="43" t="inlineStr">
        <is>
          <t>Interest Coverage Ratio — headroom</t>
        </is>
      </c>
      <c r="B16" s="4" t="inlineStr">
        <is>
          <t>Rapporto di copertura interessi — headroom</t>
        </is>
      </c>
      <c r="C16" s="2" t="inlineStr">
        <is>
          <t>%</t>
        </is>
      </c>
      <c r="G16" s="52">
        <f>IFERROR(($G$14-$G$15)/$G$15,0)</f>
        <v/>
      </c>
      <c r="H16" s="52">
        <f>IFERROR(($H$14-$H$15)/$H$15,0)</f>
        <v/>
      </c>
      <c r="I16" s="52">
        <f>IFERROR(($I$14-$I$15)/$I$15,0)</f>
        <v/>
      </c>
      <c r="J16" s="52">
        <f>IFERROR(($J$14-$J$15)/$J$15,0)</f>
        <v/>
      </c>
      <c r="K16" s="52">
        <f>IFERROR(($K$14-$K$15)/$K$15,0)</f>
        <v/>
      </c>
      <c r="L16" s="52">
        <f>IFERROR(($L$14-$L$15)/$L$15,0)</f>
        <v/>
      </c>
      <c r="M16" s="52">
        <f>IFERROR(($M$14-$M$15)/$M$15,0)</f>
        <v/>
      </c>
    </row>
    <row r="17">
      <c r="A17" s="43" t="inlineStr">
        <is>
          <t>Interest Coverage Ratio — breach</t>
        </is>
      </c>
      <c r="B17" s="4" t="inlineStr">
        <is>
          <t>Rapporto di copertura interessi — violazione</t>
        </is>
      </c>
      <c r="C17" s="2" t="inlineStr"/>
      <c r="G17" s="85">
        <f>IF(AND($G$14&lt;$G$15,'DebtSchedule'!G60&lt;-0.01),1,0)</f>
        <v/>
      </c>
      <c r="H17" s="85">
        <f>IF(AND($H$14&lt;$H$15,'DebtSchedule'!H60&lt;-0.01),1,0)</f>
        <v/>
      </c>
      <c r="I17" s="85">
        <f>IF(AND($I$14&lt;$I$15,'DebtSchedule'!I60&lt;-0.01),1,0)</f>
        <v/>
      </c>
      <c r="J17" s="85">
        <f>IF(AND($J$14&lt;$J$15,'DebtSchedule'!J60&lt;-0.01),1,0)</f>
        <v/>
      </c>
      <c r="K17" s="85">
        <f>IF(AND($K$14&lt;$K$15,'DebtSchedule'!K60&lt;-0.01),1,0)</f>
        <v/>
      </c>
      <c r="L17" s="85">
        <f>IF(AND($L$14&lt;$L$15,'DebtSchedule'!L60&lt;-0.01),1,0)</f>
        <v/>
      </c>
      <c r="M17" s="85">
        <f>IF(AND($M$14&lt;$M$15,'DebtSchedule'!M60&lt;-0.01),1,0)</f>
        <v/>
      </c>
    </row>
    <row r="19">
      <c r="A19" s="7" t="inlineStr">
        <is>
          <t>Aggregate breach counter</t>
        </is>
      </c>
      <c r="B19" s="8" t="inlineStr">
        <is>
          <t>Contatore violazioni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3" t="inlineStr">
        <is>
          <t>Total breaches (projection window)</t>
        </is>
      </c>
      <c r="B20" s="4" t="inlineStr">
        <is>
          <t>Violazioni totali (proiezione)</t>
        </is>
      </c>
      <c r="C20" s="86">
        <f>SUM($G$11:$M$11)+SUM($G$17:$M$17)</f>
        <v/>
      </c>
    </row>
    <row r="22">
      <c r="A22" s="7" t="inlineStr">
        <is>
          <t>FCCR covenant (sponsor LBO)</t>
        </is>
      </c>
      <c r="B22" s="8" t="inlineStr">
        <is>
          <t>Fixed Charge Coverage Ratio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43" t="inlineStr">
        <is>
          <t>FCCR threshold (fixed charge coverage)</t>
        </is>
      </c>
      <c r="B23" s="4" t="inlineStr">
        <is>
          <t>Soglia FCCR</t>
        </is>
      </c>
      <c r="C23" s="30" t="n">
        <v>1.2</v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Returns</t>
        </is>
      </c>
      <c r="B1" s="2" t="inlineStr">
        <is>
          <t>Rendimenti</t>
        </is>
      </c>
    </row>
    <row r="2">
      <c r="A2" s="2" t="inlineStr">
        <is>
          <t>Lender IRR, MoIC, EIR (IFRS 9) — projection window only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5">
      <c r="C5" s="17" t="inlineStr">
        <is>
          <t>Period</t>
        </is>
      </c>
      <c r="D5" s="12" t="inlineStr">
        <is>
          <t>t=0</t>
        </is>
      </c>
      <c r="E5" s="12" t="inlineStr">
        <is>
          <t>t=1</t>
        </is>
      </c>
      <c r="F5" s="12" t="inlineStr">
        <is>
          <t>t=2</t>
        </is>
      </c>
      <c r="G5" s="12" t="inlineStr">
        <is>
          <t>t=3</t>
        </is>
      </c>
      <c r="H5" s="12" t="inlineStr">
        <is>
          <t>t=4</t>
        </is>
      </c>
      <c r="I5" s="12" t="inlineStr">
        <is>
          <t>t=5</t>
        </is>
      </c>
      <c r="J5" s="12" t="inlineStr">
        <is>
          <t>t=6</t>
        </is>
      </c>
      <c r="K5" s="12" t="inlineStr">
        <is>
          <t>t=7</t>
        </is>
      </c>
    </row>
    <row r="7">
      <c r="A7" s="7" t="inlineStr">
        <is>
          <t>Transaction costs (at close)</t>
        </is>
      </c>
      <c r="B7" s="8" t="inlineStr">
        <is>
          <t>Costi della transazione (al closing)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43" t="inlineStr">
        <is>
          <t>Legal fees</t>
        </is>
      </c>
      <c r="B8" s="4" t="inlineStr">
        <is>
          <t>Spese legali</t>
        </is>
      </c>
      <c r="C8" s="2" t="inlineStr">
        <is>
          <t>USD</t>
        </is>
      </c>
      <c r="D8" s="41">
        <f>legal_fees_eur_m</f>
        <v/>
      </c>
    </row>
    <row r="9">
      <c r="A9" s="43" t="inlineStr">
        <is>
          <t>Advisory fees</t>
        </is>
      </c>
      <c r="B9" s="4" t="inlineStr">
        <is>
          <t>Spese di consulenza</t>
        </is>
      </c>
      <c r="C9" s="2" t="inlineStr">
        <is>
          <t>USD</t>
        </is>
      </c>
      <c r="D9" s="41">
        <f>advisory_fees_eur_m</f>
        <v/>
      </c>
    </row>
    <row r="10">
      <c r="A10" s="43" t="inlineStr">
        <is>
          <t>Other transaction fees</t>
        </is>
      </c>
      <c r="B10" s="4" t="inlineStr">
        <is>
          <t>Altre spese di transazione</t>
        </is>
      </c>
      <c r="C10" s="2" t="inlineStr">
        <is>
          <t>USD</t>
        </is>
      </c>
      <c r="D10" s="41">
        <f>other_fees_eur_m</f>
        <v/>
      </c>
    </row>
    <row r="11">
      <c r="A11" s="3" t="inlineStr">
        <is>
          <t>Total transaction costs</t>
        </is>
      </c>
      <c r="B11" s="4" t="inlineStr">
        <is>
          <t>Costi totali</t>
        </is>
      </c>
      <c r="D11" s="76">
        <f>legal_fees_eur_m+advisory_fees_eur_m+other_fees_eur_m</f>
        <v/>
      </c>
    </row>
    <row r="13">
      <c r="A13" s="7" t="inlineStr">
        <is>
          <t>Exit assumptions</t>
        </is>
      </c>
      <c r="B13" s="8" t="inlineStr">
        <is>
          <t>Ipotesi di uscita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43" t="inlineStr">
        <is>
          <t>Expected hold (years)</t>
        </is>
      </c>
      <c r="B14" s="4" t="inlineStr">
        <is>
          <t>Holding atteso (anni)</t>
        </is>
      </c>
      <c r="D14" s="55">
        <f>expected_hold_years</f>
        <v/>
      </c>
    </row>
    <row r="15">
      <c r="A15" s="43" t="inlineStr">
        <is>
          <t>Make-whole call rate</t>
        </is>
      </c>
      <c r="B15" s="4" t="inlineStr">
        <is>
          <t>Tasso make-whole</t>
        </is>
      </c>
      <c r="D15" s="49">
        <f>make_whole_pct</f>
        <v/>
      </c>
    </row>
    <row r="17">
      <c r="A17" s="7" t="inlineStr">
        <is>
          <t>Senior Term Loan — lender CF</t>
        </is>
      </c>
      <c r="B17" s="8" t="inlineStr">
        <is>
          <t>Senior Term Loan — CF finanziatore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Lender cash flow</t>
        </is>
      </c>
      <c r="B18" s="4" t="inlineStr">
        <is>
          <t>Flusso al finanziatore</t>
        </is>
      </c>
      <c r="C18" s="2" t="inlineStr">
        <is>
          <t>USD</t>
        </is>
      </c>
      <c r="D18" s="46">
        <f>-'DebtSchedule'!G9+'DebtSchedule'!G15</f>
        <v/>
      </c>
      <c r="E18" s="46">
        <f>-'DebtSchedule'!G14-'DebtSchedule'!G10</f>
        <v/>
      </c>
      <c r="F18" s="46">
        <f>-'DebtSchedule'!H14-'DebtSchedule'!H10</f>
        <v/>
      </c>
      <c r="G18" s="46">
        <f>-'DebtSchedule'!I14-'DebtSchedule'!I10</f>
        <v/>
      </c>
      <c r="H18" s="46">
        <f>-'DebtSchedule'!J14-'DebtSchedule'!J10</f>
        <v/>
      </c>
      <c r="I18" s="46">
        <f>-'DebtSchedule'!K14-'DebtSchedule'!K10</f>
        <v/>
      </c>
      <c r="J18" s="46">
        <f>-'DebtSchedule'!L14-'DebtSchedule'!L10</f>
        <v/>
      </c>
      <c r="K18" s="46">
        <f>-'DebtSchedule'!M14-'DebtSchedule'!M10</f>
        <v/>
      </c>
    </row>
    <row r="19">
      <c r="A19" s="43" t="inlineStr">
        <is>
          <t>Lender IRR</t>
        </is>
      </c>
      <c r="B19" s="4" t="inlineStr">
        <is>
          <t>IRR finanziatore</t>
        </is>
      </c>
      <c r="D19" s="87">
        <f>IRR($D$18:$K$18)</f>
        <v/>
      </c>
    </row>
    <row r="20">
      <c r="A20" s="43" t="inlineStr">
        <is>
          <t>EIR (IFRS 9, incl. fees)</t>
        </is>
      </c>
      <c r="B20" s="4" t="inlineStr">
        <is>
          <t>EIR (IFRS 9, incl. commissioni)</t>
        </is>
      </c>
      <c r="D20" s="87">
        <f>IRR($D$18:$K$18,0.08)</f>
        <v/>
      </c>
    </row>
    <row r="21">
      <c r="A21" s="43" t="inlineStr">
        <is>
          <t>Lender MoIC</t>
        </is>
      </c>
      <c r="B21" s="4" t="inlineStr">
        <is>
          <t>MoIC finanziatore</t>
        </is>
      </c>
      <c r="D21" s="78">
        <f>IFERROR(SUMIF($D$18:$K$18,"&gt;0")/ABS(SUMIF($D$18:$K$18,"&lt;0")),0)</f>
        <v/>
      </c>
    </row>
    <row r="23">
      <c r="A23" s="7" t="inlineStr">
        <is>
          <t>Mezzanine Notes — lender CF</t>
        </is>
      </c>
      <c r="B23" s="8" t="inlineStr">
        <is>
          <t>Mezzanine Notes — CF finanziatore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3" t="inlineStr">
        <is>
          <t>Lender cash flow</t>
        </is>
      </c>
      <c r="B24" s="4" t="inlineStr">
        <is>
          <t>Flusso al finanziatore</t>
        </is>
      </c>
      <c r="C24" s="2" t="inlineStr">
        <is>
          <t>USD</t>
        </is>
      </c>
      <c r="D24" s="46">
        <f>-'DebtSchedule'!G19+'DebtSchedule'!G25</f>
        <v/>
      </c>
      <c r="E24" s="46">
        <f>-'DebtSchedule'!G24-'DebtSchedule'!G20</f>
        <v/>
      </c>
      <c r="F24" s="46">
        <f>-'DebtSchedule'!H24-'DebtSchedule'!H20</f>
        <v/>
      </c>
      <c r="G24" s="46">
        <f>-'DebtSchedule'!I24-'DebtSchedule'!I20</f>
        <v/>
      </c>
      <c r="H24" s="46">
        <f>-'DebtSchedule'!J24-'DebtSchedule'!J20</f>
        <v/>
      </c>
      <c r="I24" s="46">
        <f>-'DebtSchedule'!K24-'DebtSchedule'!K20</f>
        <v/>
      </c>
      <c r="J24" s="46">
        <f>-'DebtSchedule'!L24-'DebtSchedule'!L20</f>
        <v/>
      </c>
      <c r="K24" s="46">
        <f>-'DebtSchedule'!M24-'DebtSchedule'!M20</f>
        <v/>
      </c>
    </row>
    <row r="25">
      <c r="A25" s="43" t="inlineStr">
        <is>
          <t>Lender IRR</t>
        </is>
      </c>
      <c r="B25" s="4" t="inlineStr">
        <is>
          <t>IRR finanziatore</t>
        </is>
      </c>
      <c r="D25" s="87">
        <f>IRR($D$24:$K$24)</f>
        <v/>
      </c>
    </row>
    <row r="26">
      <c r="A26" s="43" t="inlineStr">
        <is>
          <t>EIR (IFRS 9, incl. fees)</t>
        </is>
      </c>
      <c r="B26" s="4" t="inlineStr">
        <is>
          <t>EIR (IFRS 9, incl. commissioni)</t>
        </is>
      </c>
      <c r="D26" s="87">
        <f>IRR($D$24:$K$24,0.08)</f>
        <v/>
      </c>
    </row>
    <row r="27">
      <c r="A27" s="43" t="inlineStr">
        <is>
          <t>Lender MoIC</t>
        </is>
      </c>
      <c r="B27" s="4" t="inlineStr">
        <is>
          <t>MoIC finanziatore</t>
        </is>
      </c>
      <c r="D27" s="78">
        <f>IFERROR(SUMIF($D$24:$K$24,"&gt;0")/ABS(SUMIF($D$24:$K$24,"&lt;0")),0)</f>
        <v/>
      </c>
    </row>
    <row r="29">
      <c r="A29" s="7" t="inlineStr">
        <is>
          <t>Blended lender returns</t>
        </is>
      </c>
      <c r="B29" s="8" t="inlineStr">
        <is>
          <t>Rendimenti blended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3" t="inlineStr">
        <is>
          <t>Blended cash flow</t>
        </is>
      </c>
      <c r="B30" s="4" t="inlineStr">
        <is>
          <t>CF totale</t>
        </is>
      </c>
      <c r="D30" s="76">
        <f>$D$18+$D$24</f>
        <v/>
      </c>
      <c r="E30" s="76">
        <f>$E$18+$E$24</f>
        <v/>
      </c>
      <c r="F30" s="76">
        <f>$F$18+$F$24</f>
        <v/>
      </c>
      <c r="G30" s="76">
        <f>$G$18+$G$24</f>
        <v/>
      </c>
      <c r="H30" s="76">
        <f>$H$18+$H$24</f>
        <v/>
      </c>
      <c r="I30" s="76">
        <f>$I$18+$I$24</f>
        <v/>
      </c>
      <c r="J30" s="76">
        <f>$J$18+$J$24</f>
        <v/>
      </c>
      <c r="K30" s="76">
        <f>$K$18+$K$24</f>
        <v/>
      </c>
    </row>
    <row r="31">
      <c r="A31" s="43" t="inlineStr">
        <is>
          <t>Blended IRR</t>
        </is>
      </c>
      <c r="B31" s="4" t="inlineStr">
        <is>
          <t>IRR blended</t>
        </is>
      </c>
      <c r="D31" s="49">
        <f>IRR($D$30:$K$30)</f>
        <v/>
      </c>
    </row>
    <row r="32">
      <c r="A32" s="43" t="inlineStr">
        <is>
          <t>Blended MoIC</t>
        </is>
      </c>
      <c r="B32" s="4" t="inlineStr">
        <is>
          <t>MoIC blended</t>
        </is>
      </c>
      <c r="D32" s="57">
        <f>IFERROR(SUMIF($D$30:$K$30,"&gt;0")/ABS(SUMIF($D$30:$K$30,"&lt;0")),0)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34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Sources &amp; Uses + LBO Structuring</t>
        </is>
      </c>
      <c r="B1" s="2" t="inlineStr">
        <is>
          <t>Sources &amp; Uses + Struttura LBO</t>
        </is>
      </c>
      <c r="Z1" s="88" t="n">
        <v>35</v>
      </c>
    </row>
    <row r="2">
      <c r="A2" s="2" t="inlineStr">
        <is>
          <t>Balanced S&amp;U, PPA, sponsor capital, exits, hurdle, promote</t>
        </is>
      </c>
    </row>
    <row r="5">
      <c r="A5" s="7" t="inlineStr">
        <is>
          <t>Sources &amp; Uses</t>
        </is>
      </c>
      <c r="B5" s="8" t="inlineStr">
        <is>
          <t>Fonti e impieghi (S&amp;U)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17" t="inlineStr">
        <is>
          <t>SOURCES</t>
        </is>
      </c>
      <c r="B6" s="2" t="inlineStr">
        <is>
          <t>FONTI</t>
        </is>
      </c>
    </row>
    <row r="7">
      <c r="A7" s="43" t="inlineStr">
        <is>
          <t>Senior debt (Term Loan B / unitranche)</t>
        </is>
      </c>
      <c r="B7" s="4" t="inlineStr">
        <is>
          <t>Debito senior (TLB / unitranche)</t>
        </is>
      </c>
      <c r="D7" s="26" t="n">
        <v>157.5</v>
      </c>
    </row>
    <row r="8">
      <c r="A8" s="43" t="inlineStr">
        <is>
          <t>Mezzanine / subordinated debt</t>
        </is>
      </c>
      <c r="B8" s="4" t="inlineStr">
        <is>
          <t>Debito mezzanino</t>
        </is>
      </c>
      <c r="D8" s="26" t="n">
        <v>35</v>
      </c>
    </row>
    <row r="9">
      <c r="A9" s="43" t="inlineStr">
        <is>
          <t>Revolver facility (drawn at close)</t>
        </is>
      </c>
      <c r="B9" s="4" t="inlineStr">
        <is>
          <t>Revolver (tirato alla chiusura)</t>
        </is>
      </c>
      <c r="D9" s="26" t="n">
        <v>0</v>
      </c>
    </row>
    <row r="10">
      <c r="A10" s="43" t="inlineStr">
        <is>
          <t>Sponsor equity (new money)</t>
        </is>
      </c>
      <c r="B10" s="4" t="inlineStr">
        <is>
          <t>Equity dello sponsor (denaro nuovo)</t>
        </is>
      </c>
      <c r="D10" s="41">
        <f>D21-(D7+D8+D9)-D11</f>
        <v/>
      </c>
    </row>
    <row r="11">
      <c r="A11" s="43" t="inlineStr">
        <is>
          <t>Management rollover equity</t>
        </is>
      </c>
      <c r="B11" s="4" t="inlineStr">
        <is>
          <t>Rollover equity del management</t>
        </is>
      </c>
      <c r="D11" s="26" t="n">
        <v>0</v>
      </c>
    </row>
    <row r="12">
      <c r="A12" s="3" t="inlineStr">
        <is>
          <t>Total sources</t>
        </is>
      </c>
      <c r="B12" s="4" t="inlineStr">
        <is>
          <t>Totale fonti</t>
        </is>
      </c>
      <c r="D12" s="82">
        <f>D7+D8+D9+D10+D11</f>
        <v/>
      </c>
    </row>
    <row r="14">
      <c r="A14" s="17" t="inlineStr">
        <is>
          <t>USES</t>
        </is>
      </c>
      <c r="B14" s="2" t="inlineStr">
        <is>
          <t>IMPIEGHI</t>
        </is>
      </c>
    </row>
    <row r="15">
      <c r="A15" s="43" t="inlineStr">
        <is>
          <t>Purchase equity (target shares × offer px)</t>
        </is>
      </c>
      <c r="B15" s="4" t="inlineStr">
        <is>
          <t>Equity da acquisire</t>
        </is>
      </c>
      <c r="D15" s="41">
        <f>D28</f>
        <v/>
      </c>
    </row>
    <row r="16">
      <c r="A16" s="43" t="inlineStr">
        <is>
          <t>Refinance target net debt</t>
        </is>
      </c>
      <c r="B16" s="4" t="inlineStr">
        <is>
          <t>Rifinanziamento debito target</t>
        </is>
      </c>
      <c r="D16" s="26" t="n">
        <v>20</v>
      </c>
    </row>
    <row r="17">
      <c r="A17" s="43" t="inlineStr">
        <is>
          <t>M&amp;A advisory fees (expensed)</t>
        </is>
      </c>
      <c r="B17" s="4" t="inlineStr">
        <is>
          <t>Spese M&amp;A (spesate)</t>
        </is>
      </c>
      <c r="D17" s="26" t="n">
        <v>7</v>
      </c>
    </row>
    <row r="18">
      <c r="A18" s="43" t="inlineStr">
        <is>
          <t>Financing fees (capitalized + amortized)</t>
        </is>
      </c>
      <c r="B18" s="4" t="inlineStr">
        <is>
          <t>Commissioni di finanziamento (capitalizzate)</t>
        </is>
      </c>
      <c r="D18" s="26" t="n">
        <v>5</v>
      </c>
    </row>
    <row r="19">
      <c r="A19" s="43" t="inlineStr">
        <is>
          <t>OID discount (original issue)</t>
        </is>
      </c>
      <c r="B19" s="4" t="inlineStr">
        <is>
          <t>Sconto OID</t>
        </is>
      </c>
      <c r="D19" s="26" t="n">
        <v>0</v>
      </c>
    </row>
    <row r="20">
      <c r="A20" s="43" t="inlineStr">
        <is>
          <t>Minimum cash to balance sheet</t>
        </is>
      </c>
      <c r="B20" s="4" t="inlineStr">
        <is>
          <t>Cassa minima al bilancio</t>
        </is>
      </c>
      <c r="D20" s="26" t="n">
        <v>5</v>
      </c>
    </row>
    <row r="21">
      <c r="A21" s="3" t="inlineStr">
        <is>
          <t>Total uses</t>
        </is>
      </c>
      <c r="B21" s="4" t="inlineStr">
        <is>
          <t>Totale impieghi</t>
        </is>
      </c>
      <c r="D21" s="82">
        <f>D15+D16+D17+D18+D19+D20</f>
        <v/>
      </c>
    </row>
    <row r="22">
      <c r="A22" s="3" t="inlineStr">
        <is>
          <t>S&amp;U check (sources − uses)</t>
        </is>
      </c>
      <c r="B22" s="4" t="inlineStr">
        <is>
          <t>S&amp;U check (fonti − impieghi)</t>
        </is>
      </c>
      <c r="D22" s="41">
        <f>D12-D21</f>
        <v/>
      </c>
    </row>
    <row r="24">
      <c r="A24" s="7" t="inlineStr">
        <is>
          <t>Purchase price build</t>
        </is>
      </c>
      <c r="B24" s="8" t="inlineStr">
        <is>
          <t>Costruzione prezzo di acquisto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43" t="inlineStr">
        <is>
          <t>Offer price per share</t>
        </is>
      </c>
      <c r="B25" s="4" t="inlineStr">
        <is>
          <t>Prezzo di offerta per azione</t>
        </is>
      </c>
      <c r="D25" s="58" t="n">
        <v>5.5</v>
      </c>
    </row>
    <row r="26">
      <c r="A26" s="43" t="inlineStr">
        <is>
          <t>Fully-diluted shares outstanding (m)</t>
        </is>
      </c>
      <c r="B26" s="4" t="inlineStr">
        <is>
          <t>Azioni fully-diluted (m)</t>
        </is>
      </c>
      <c r="D26" s="58" t="n">
        <v>60</v>
      </c>
    </row>
    <row r="27">
      <c r="A27" s="43" t="inlineStr">
        <is>
          <t>Option buyout (treasury / in-the-money)</t>
        </is>
      </c>
      <c r="B27" s="4" t="inlineStr">
        <is>
          <t>Acquisto opzioni (metodo tesoriera / ITM)</t>
        </is>
      </c>
      <c r="D27" s="26" t="n">
        <v>0</v>
      </c>
    </row>
    <row r="28">
      <c r="A28" s="3" t="inlineStr">
        <is>
          <t>Equity purchase price</t>
        </is>
      </c>
      <c r="B28" s="4" t="inlineStr">
        <is>
          <t>Prezzo di acquisto equity</t>
        </is>
      </c>
      <c r="D28" s="76">
        <f>D25*D26+D27</f>
        <v/>
      </c>
    </row>
    <row r="29">
      <c r="A29" s="43" t="inlineStr">
        <is>
          <t>(+) Target net debt assumed</t>
        </is>
      </c>
      <c r="B29" s="4" t="inlineStr">
        <is>
          <t>(+) PFN target assunto</t>
        </is>
      </c>
      <c r="D29" s="26" t="n">
        <v>20</v>
      </c>
    </row>
    <row r="30">
      <c r="A30" s="43" t="inlineStr">
        <is>
          <t>(+) Transaction fees (aggregate)</t>
        </is>
      </c>
      <c r="B30" s="4" t="inlineStr">
        <is>
          <t>(+) Spese totali</t>
        </is>
      </c>
      <c r="D30" s="41">
        <f>D17+D18</f>
        <v/>
      </c>
    </row>
    <row r="31">
      <c r="A31" s="3" t="inlineStr">
        <is>
          <t>purchase_price — Enterprise Value</t>
        </is>
      </c>
      <c r="B31" s="4" t="inlineStr">
        <is>
          <t>Prezzo acquisto — Enterprise Value</t>
        </is>
      </c>
      <c r="D31" s="82">
        <f>D28+D29+D30</f>
        <v/>
      </c>
    </row>
    <row r="33">
      <c r="A33" s="7" t="inlineStr">
        <is>
          <t>Purchase Price Allocation (PPA)</t>
        </is>
      </c>
      <c r="B33" s="8" t="inlineStr">
        <is>
          <t>Allocazione prezzo di acquisto (PPA)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3" t="inlineStr">
        <is>
          <t>Target book value of equity at close</t>
        </is>
      </c>
      <c r="B34" s="4" t="inlineStr">
        <is>
          <t>PN target alla chiusura</t>
        </is>
      </c>
      <c r="D34" s="26" t="n">
        <v>50</v>
      </c>
    </row>
    <row r="35">
      <c r="A35" s="43" t="inlineStr">
        <is>
          <t>PP&amp;E fair-value write-up</t>
        </is>
      </c>
      <c r="B35" s="4" t="inlineStr">
        <is>
          <t>Rivalutazione immobilizzazioni</t>
        </is>
      </c>
      <c r="D35" s="26" t="n">
        <v>0</v>
      </c>
    </row>
    <row r="36">
      <c r="A36" s="43" t="inlineStr">
        <is>
          <t>Intangibles — customer list</t>
        </is>
      </c>
      <c r="B36" s="4" t="inlineStr">
        <is>
          <t>Intangibili — lista clienti</t>
        </is>
      </c>
      <c r="D36" s="26" t="n">
        <v>30</v>
      </c>
    </row>
    <row r="37">
      <c r="A37" s="43" t="inlineStr">
        <is>
          <t>Intangibles — technology</t>
        </is>
      </c>
      <c r="B37" s="4" t="inlineStr">
        <is>
          <t>Intangibili — tecnologia</t>
        </is>
      </c>
      <c r="D37" s="26" t="n">
        <v>15</v>
      </c>
    </row>
    <row r="38">
      <c r="A38" s="43" t="inlineStr">
        <is>
          <t>Intangibles — trade name</t>
        </is>
      </c>
      <c r="B38" s="4" t="inlineStr">
        <is>
          <t>Intangibili — marchio</t>
        </is>
      </c>
      <c r="D38" s="26" t="n">
        <v>10</v>
      </c>
    </row>
    <row r="39">
      <c r="A39" s="43" t="inlineStr">
        <is>
          <t>DTL rate on asset step-ups</t>
        </is>
      </c>
      <c r="B39" s="4" t="inlineStr">
        <is>
          <t>Aliquota DTL su rivalutazioni</t>
        </is>
      </c>
      <c r="D39" s="20" t="n">
        <v>0.24</v>
      </c>
    </row>
    <row r="40">
      <c r="A40" s="43" t="inlineStr">
        <is>
          <t>DTL on asset write-ups</t>
        </is>
      </c>
      <c r="B40" s="4" t="inlineStr">
        <is>
          <t>DTL su rivalutazioni</t>
        </is>
      </c>
      <c r="D40" s="41">
        <f>(D35+D36+D37+D38)*D39</f>
        <v/>
      </c>
    </row>
    <row r="41">
      <c r="A41" s="3" t="inlineStr">
        <is>
          <t>Goodwill created at close</t>
        </is>
      </c>
      <c r="B41" s="4" t="inlineStr">
        <is>
          <t>Avviamento creato</t>
        </is>
      </c>
      <c r="D41" s="76">
        <f>D28-D34-D35-D36-D37-D38+D40</f>
        <v/>
      </c>
    </row>
    <row r="42">
      <c r="A42" s="43" t="inlineStr">
        <is>
          <t>Customer-list amortization (SL, 10y)</t>
        </is>
      </c>
      <c r="B42" s="4" t="inlineStr">
        <is>
          <t>Ammortamento lista clienti (SL, 10 anni)</t>
        </is>
      </c>
      <c r="D42" s="41">
        <f>-D36/10</f>
        <v/>
      </c>
    </row>
    <row r="43">
      <c r="A43" s="43" t="inlineStr">
        <is>
          <t>Technology amortization (SL, 7y)</t>
        </is>
      </c>
      <c r="B43" s="4" t="inlineStr">
        <is>
          <t>Ammortamento tecnologia (SL, 7 anni)</t>
        </is>
      </c>
      <c r="D43" s="41">
        <f>-D37/7</f>
        <v/>
      </c>
    </row>
    <row r="44">
      <c r="A44" s="43" t="inlineStr">
        <is>
          <t>Trade-name amortization (SL, 15y)</t>
        </is>
      </c>
      <c r="B44" s="4" t="inlineStr">
        <is>
          <t>Ammortamento marchio (SL, 15 anni)</t>
        </is>
      </c>
      <c r="D44" s="41">
        <f>-D38/15</f>
        <v/>
      </c>
    </row>
    <row r="45">
      <c r="A45" s="3" t="inlineStr">
        <is>
          <t>Total PPA amortization (annual)</t>
        </is>
      </c>
      <c r="B45" s="4" t="inlineStr">
        <is>
          <t>Ammortamento PPA totale (annuale)</t>
        </is>
      </c>
      <c r="D45" s="76">
        <f>D42+D43+D44</f>
        <v/>
      </c>
    </row>
    <row r="47">
      <c r="A47" s="7" t="inlineStr">
        <is>
          <t>Transaction fees — split</t>
        </is>
      </c>
      <c r="B47" s="8" t="inlineStr">
        <is>
          <t>Spese di transazione — dettaglio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3" t="inlineStr">
        <is>
          <t>M&amp;A advisory fees (expensed at close)</t>
        </is>
      </c>
      <c r="B48" s="4" t="inlineStr">
        <is>
          <t>Spese M&amp;A (spesate alla chiusura)</t>
        </is>
      </c>
      <c r="D48" s="26" t="n">
        <v>7</v>
      </c>
    </row>
    <row r="49">
      <c r="A49" s="43" t="inlineStr">
        <is>
          <t>Financing fees (capitalized, amortized over tenor)</t>
        </is>
      </c>
      <c r="B49" s="4" t="inlineStr">
        <is>
          <t>Commissioni di finanziamento (capitalizzate)</t>
        </is>
      </c>
      <c r="D49" s="26" t="n">
        <v>5</v>
      </c>
    </row>
    <row r="51">
      <c r="A51" s="7" t="inlineStr">
        <is>
          <t>Sponsor capital structure</t>
        </is>
      </c>
      <c r="B51" s="8" t="inlineStr">
        <is>
          <t>Struttura capitale dello sponsor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43" t="inlineStr">
        <is>
          <t>Sponsor equity (new money)</t>
        </is>
      </c>
      <c r="B52" s="4" t="inlineStr">
        <is>
          <t>Equity dello sponsor</t>
        </is>
      </c>
      <c r="D52" s="26" t="n">
        <v>174.5</v>
      </c>
    </row>
    <row r="53">
      <c r="A53" s="43" t="inlineStr">
        <is>
          <t>Management rollover</t>
        </is>
      </c>
      <c r="B53" s="4" t="inlineStr">
        <is>
          <t>Rollover management</t>
        </is>
      </c>
      <c r="D53" s="26" t="n">
        <v>0</v>
      </c>
    </row>
    <row r="54">
      <c r="A54" s="43" t="inlineStr">
        <is>
          <t>MIP pool (post-close equity, 4y vest)</t>
        </is>
      </c>
      <c r="B54" s="4" t="inlineStr">
        <is>
          <t>Pool MIP (4 anni vesting)</t>
        </is>
      </c>
      <c r="D54" s="20" t="n">
        <v>0</v>
      </c>
    </row>
    <row r="55">
      <c r="A55" s="3" t="inlineStr">
        <is>
          <t>Total equity at close (sponsor + rollover)</t>
        </is>
      </c>
      <c r="B55" s="4" t="inlineStr">
        <is>
          <t>Equity totale alla chiusura</t>
        </is>
      </c>
      <c r="D55" s="76">
        <f>D52+D53</f>
        <v/>
      </c>
    </row>
    <row r="57">
      <c r="A57" s="7" t="inlineStr">
        <is>
          <t>NWC closing adjustment</t>
        </is>
      </c>
      <c r="B57" s="8" t="inlineStr">
        <is>
          <t>Adeguamento CCN alla chiusura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3" t="inlineStr">
        <is>
          <t>NWC target peg (at close)</t>
        </is>
      </c>
      <c r="B58" s="4" t="inlineStr">
        <is>
          <t>Target CCN alla chiusura</t>
        </is>
      </c>
      <c r="D58" s="26" t="n">
        <v>0</v>
      </c>
    </row>
    <row r="59">
      <c r="A59" s="43" t="inlineStr">
        <is>
          <t>NWC true-up at close (actual − peg)</t>
        </is>
      </c>
      <c r="B59" s="4" t="inlineStr">
        <is>
          <t>Aggiustamento CCN (effettivo − target)</t>
        </is>
      </c>
      <c r="D59" s="26" t="n">
        <v>0</v>
      </c>
    </row>
    <row r="61">
      <c r="A61" s="7" t="inlineStr">
        <is>
          <t>Earnout / CVR</t>
        </is>
      </c>
      <c r="B61" s="8" t="inlineStr">
        <is>
          <t>Earnout / CVR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3" t="inlineStr">
        <is>
          <t>Earnout fair value at close</t>
        </is>
      </c>
      <c r="B62" s="4" t="inlineStr">
        <is>
          <t>Fair value earnout alla chiusura</t>
        </is>
      </c>
      <c r="D62" s="26" t="n">
        <v>0</v>
      </c>
    </row>
    <row r="63">
      <c r="A63" s="43" t="inlineStr">
        <is>
          <t>Earnout payment year</t>
        </is>
      </c>
      <c r="B63" s="4" t="inlineStr">
        <is>
          <t>Anno pagamento earnout</t>
        </is>
      </c>
      <c r="D63" s="10" t="n">
        <v>2</v>
      </c>
    </row>
    <row r="64">
      <c r="A64" s="43" t="inlineStr">
        <is>
          <t>Earnout discount rate (accretion)</t>
        </is>
      </c>
      <c r="B64" s="4" t="inlineStr">
        <is>
          <t>Tasso sconto earnout</t>
        </is>
      </c>
      <c r="D64" s="59" t="n">
        <v>0.05</v>
      </c>
    </row>
    <row r="65">
      <c r="A65" s="43" t="inlineStr">
        <is>
          <t>Earnout accretion through P&amp;L (total)</t>
        </is>
      </c>
      <c r="B65" s="4" t="inlineStr">
        <is>
          <t>Accrual earnout a P&amp;L (totale)</t>
        </is>
      </c>
      <c r="D65" s="41">
        <f>D62*((1+earnout_discount_pct)^D63-1)</f>
        <v/>
      </c>
    </row>
    <row r="67">
      <c r="A67" s="7" t="inlineStr">
        <is>
          <t>Dividend recap</t>
        </is>
      </c>
      <c r="B67" s="8" t="inlineStr">
        <is>
          <t>Dividend recap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43" t="inlineStr">
        <is>
          <t>Dividend recap enabled</t>
        </is>
      </c>
      <c r="B68" s="4" t="inlineStr">
        <is>
          <t>Dividend recap abilitato</t>
        </is>
      </c>
      <c r="D68" s="10" t="n">
        <v>0</v>
      </c>
    </row>
    <row r="69">
      <c r="A69" s="43" t="inlineStr">
        <is>
          <t>Recap year</t>
        </is>
      </c>
      <c r="B69" s="4" t="inlineStr">
        <is>
          <t>Anno recap</t>
        </is>
      </c>
      <c r="D69" s="10" t="n">
        <v>3</v>
      </c>
    </row>
    <row r="70">
      <c r="A70" s="43" t="inlineStr">
        <is>
          <t>Recap target leverage (× EBITDA)</t>
        </is>
      </c>
      <c r="B70" s="4" t="inlineStr">
        <is>
          <t>Leva target recap</t>
        </is>
      </c>
      <c r="D70" s="30" t="n">
        <v>4</v>
      </c>
    </row>
    <row r="71">
      <c r="A71" s="43" t="inlineStr">
        <is>
          <t>Recap sponsor share of proceeds</t>
        </is>
      </c>
      <c r="B71" s="4" t="inlineStr">
        <is>
          <t>Quota sponsor su proventi recap</t>
        </is>
      </c>
      <c r="D71" s="20" t="n">
        <v>1</v>
      </c>
    </row>
    <row r="73">
      <c r="A73" s="7" t="inlineStr">
        <is>
          <t>Exit scenarios</t>
        </is>
      </c>
      <c r="B73" s="8" t="inlineStr">
        <is>
          <t>Scenari di uscita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3" t="inlineStr">
        <is>
          <t>Exit year</t>
        </is>
      </c>
      <c r="B74" s="4" t="inlineStr">
        <is>
          <t>Anno di uscita</t>
        </is>
      </c>
      <c r="D74" s="10" t="n">
        <v>5</v>
      </c>
    </row>
    <row r="75">
      <c r="A75" s="43" t="inlineStr">
        <is>
          <t>Exit — strategic sale (EV/EBITDA ×)</t>
        </is>
      </c>
      <c r="B75" s="4" t="inlineStr">
        <is>
          <t>Uscita — vendita strategica</t>
        </is>
      </c>
      <c r="D75" s="30" t="n">
        <v>9</v>
      </c>
    </row>
    <row r="76">
      <c r="A76" s="43" t="inlineStr">
        <is>
          <t>Exit — IPO (P/E ×)</t>
        </is>
      </c>
      <c r="B76" s="4" t="inlineStr">
        <is>
          <t>Uscita — IPO</t>
        </is>
      </c>
      <c r="D76" s="30" t="n">
        <v>14</v>
      </c>
    </row>
    <row r="77">
      <c r="A77" s="43" t="inlineStr">
        <is>
          <t>Exit — secondary LBO (leverage cap)</t>
        </is>
      </c>
      <c r="B77" s="4" t="inlineStr">
        <is>
          <t>Uscita — secondary LBO</t>
        </is>
      </c>
      <c r="D77" s="30" t="n">
        <v>8</v>
      </c>
    </row>
    <row r="79">
      <c r="A79" s="7" t="inlineStr">
        <is>
          <t>Hurdle analysis — reverse-solve max PP</t>
        </is>
      </c>
      <c r="B79" s="8" t="inlineStr">
        <is>
          <t>Hurdle — prezzo max al ritorno obiettivo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>
      <c r="A80" s="43" t="inlineStr">
        <is>
          <t>Hurdle IRR 20% — implied max purchase price</t>
        </is>
      </c>
      <c r="B80" s="4" t="inlineStr">
        <is>
          <t>Hurdle IRR 20% — PP max implicito</t>
        </is>
      </c>
      <c r="D80" s="46">
        <f>(D75*OperatingModel!K13-'DebtSchedule'!K59)/(1+0.2)^D74/3</f>
        <v/>
      </c>
    </row>
    <row r="81">
      <c r="A81" s="43" t="inlineStr">
        <is>
          <t>Hurdle IRR 25% — implied max purchase price</t>
        </is>
      </c>
      <c r="B81" s="4" t="inlineStr">
        <is>
          <t>Hurdle IRR 25% — PP max implicito</t>
        </is>
      </c>
      <c r="D81" s="46">
        <f>(D75*OperatingModel!K13-'DebtSchedule'!K59)/(1+0.25)^D74/3</f>
        <v/>
      </c>
    </row>
    <row r="82">
      <c r="A82" s="43" t="inlineStr">
        <is>
          <t>Hurdle IRR 30% — implied max purchase price</t>
        </is>
      </c>
      <c r="B82" s="4" t="inlineStr">
        <is>
          <t>Hurdle IRR 30% — PP max implicito</t>
        </is>
      </c>
      <c r="D82" s="46">
        <f>(D75*OperatingModel!K13-'DebtSchedule'!K59)/(1+0.3)^D74/3</f>
        <v/>
      </c>
    </row>
    <row r="83">
      <c r="A83" s="2" t="inlineStr">
        <is>
          <t>Reverse-solve — max PP for 20/25/30% IRR</t>
        </is>
      </c>
    </row>
    <row r="85">
      <c r="A85" s="7" t="inlineStr">
        <is>
          <t>Sponsor GP promote</t>
        </is>
      </c>
      <c r="B85" s="8" t="inlineStr">
        <is>
          <t>Waterfall GP promote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>
      <c r="A86" s="43" t="inlineStr">
        <is>
          <t>LP preferred return (hurdle)</t>
        </is>
      </c>
      <c r="B86" s="4" t="inlineStr">
        <is>
          <t>Rendimento preferred LP</t>
        </is>
      </c>
      <c r="D86" s="20" t="n">
        <v>0.08</v>
      </c>
    </row>
    <row r="87">
      <c r="A87" s="43" t="inlineStr">
        <is>
          <t>GP catch-up rate</t>
        </is>
      </c>
      <c r="B87" s="4" t="inlineStr">
        <is>
          <t>Catch-up GP</t>
        </is>
      </c>
      <c r="D87" s="20" t="n">
        <v>1</v>
      </c>
    </row>
    <row r="88">
      <c r="A88" s="43" t="inlineStr">
        <is>
          <t>GP carry / promote</t>
        </is>
      </c>
      <c r="B88" s="4" t="inlineStr">
        <is>
          <t>Carry / promote GP</t>
        </is>
      </c>
      <c r="D88" s="20" t="n">
        <v>0.2</v>
      </c>
    </row>
    <row r="89">
      <c r="A89" s="43" t="inlineStr">
        <is>
          <t>Waterfall type</t>
        </is>
      </c>
      <c r="B89" s="4" t="inlineStr">
        <is>
          <t>Tipo waterfall</t>
        </is>
      </c>
      <c r="D89" t="inlineStr">
        <is>
          <t>european</t>
        </is>
      </c>
    </row>
    <row r="91">
      <c r="A91" s="7" t="inlineStr">
        <is>
          <t>Sponsor cash-flow series (Y0..Y9)</t>
        </is>
      </c>
      <c r="B91" s="8" t="inlineStr">
        <is>
          <t>Serie di cassa sponsor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>
      <c r="B92" s="2" t="inlineStr">
        <is>
          <t>Year</t>
        </is>
      </c>
      <c r="D92" s="89" t="n">
        <v>0</v>
      </c>
      <c r="E92" s="89" t="n">
        <v>1</v>
      </c>
      <c r="F92" s="89" t="n">
        <v>2</v>
      </c>
      <c r="G92" s="89" t="n">
        <v>3</v>
      </c>
      <c r="H92" s="89" t="n">
        <v>4</v>
      </c>
      <c r="I92" s="89" t="n">
        <v>5</v>
      </c>
      <c r="J92" s="89" t="n">
        <v>6</v>
      </c>
      <c r="K92" s="89" t="n">
        <v>7</v>
      </c>
      <c r="L92" s="89" t="n">
        <v>8</v>
      </c>
      <c r="M92" s="89" t="n">
        <v>9</v>
      </c>
    </row>
    <row r="93">
      <c r="A93" s="17" t="inlineStr">
        <is>
          <t>Strategic sale</t>
        </is>
      </c>
      <c r="B93" s="2" t="inlineStr">
        <is>
          <t>Vendita strategica</t>
        </is>
      </c>
      <c r="D93" s="41">
        <f>-D10</f>
        <v/>
      </c>
      <c r="E93" s="46">
        <f>IF(1=D74,D75*OperatingModel!K13-'DebtSchedule'!K59,0)+IF(AND(D68=1,1=D69),(recap_target_leverage*OperatingModel!I13-'DebtSchedule'!I59)*recap_sponsor_share_pct,0)</f>
        <v/>
      </c>
      <c r="F93" s="46">
        <f>IF(2=D74,D75*OperatingModel!K13-'DebtSchedule'!K59,0)+IF(AND(D68=1,2=D69),(recap_target_leverage*OperatingModel!I13-'DebtSchedule'!I59)*recap_sponsor_share_pct,0)</f>
        <v/>
      </c>
      <c r="G93" s="46">
        <f>IF(3=D74,D75*OperatingModel!K13-'DebtSchedule'!K59,0)+IF(AND(D68=1,3=D69),(recap_target_leverage*OperatingModel!I13-'DebtSchedule'!I59)*recap_sponsor_share_pct,0)</f>
        <v/>
      </c>
      <c r="H93" s="46">
        <f>IF(4=D74,D75*OperatingModel!K13-'DebtSchedule'!K59,0)+IF(AND(D68=1,4=D69),(recap_target_leverage*OperatingModel!I13-'DebtSchedule'!I59)*recap_sponsor_share_pct,0)</f>
        <v/>
      </c>
      <c r="I93" s="46">
        <f>IF(5=D74,D75*OperatingModel!K13-'DebtSchedule'!K59,0)+IF(AND(D68=1,5=D69),(recap_target_leverage*OperatingModel!I13-'DebtSchedule'!I59)*recap_sponsor_share_pct,0)</f>
        <v/>
      </c>
      <c r="J93" s="46">
        <f>IF(6=D74,D75*OperatingModel!K13-'DebtSchedule'!K59,0)+IF(AND(D68=1,6=D69),(recap_target_leverage*OperatingModel!I13-'DebtSchedule'!I59)*recap_sponsor_share_pct,0)</f>
        <v/>
      </c>
      <c r="K93" s="46">
        <f>IF(7=D74,D75*OperatingModel!K13-'DebtSchedule'!K59,0)+IF(AND(D68=1,7=D69),(recap_target_leverage*OperatingModel!I13-'DebtSchedule'!I59)*recap_sponsor_share_pct,0)</f>
        <v/>
      </c>
      <c r="L93" s="46">
        <f>IF(8=D74,D75*OperatingModel!K13-'DebtSchedule'!K59,0)+IF(AND(D68=1,8=D69),(recap_target_leverage*OperatingModel!I13-'DebtSchedule'!I59)*recap_sponsor_share_pct,0)</f>
        <v/>
      </c>
      <c r="M93" s="46">
        <f>IF(9=D74,D75*OperatingModel!K13-'DebtSchedule'!K59,0)+IF(AND(D68=1,9=D69),(recap_target_leverage*OperatingModel!I13-'DebtSchedule'!I59)*recap_sponsor_share_pct,0)</f>
        <v/>
      </c>
    </row>
    <row r="94">
      <c r="A94" s="17" t="inlineStr">
        <is>
          <t>IPO</t>
        </is>
      </c>
      <c r="B94" s="2" t="inlineStr">
        <is>
          <t>IPO</t>
        </is>
      </c>
      <c r="D94" s="41">
        <f>-D10</f>
        <v/>
      </c>
      <c r="E94" s="46">
        <f>IF(1=D74,D76*OperatingModel!K13-'DebtSchedule'!K59,0)+IF(AND(D68=1,1=D69),(recap_target_leverage*OperatingModel!I13-'DebtSchedule'!I59)*recap_sponsor_share_pct,0)</f>
        <v/>
      </c>
      <c r="F94" s="46">
        <f>IF(2=D74,D76*OperatingModel!K13-'DebtSchedule'!K59,0)+IF(AND(D68=1,2=D69),(recap_target_leverage*OperatingModel!I13-'DebtSchedule'!I59)*recap_sponsor_share_pct,0)</f>
        <v/>
      </c>
      <c r="G94" s="46">
        <f>IF(3=D74,D76*OperatingModel!K13-'DebtSchedule'!K59,0)+IF(AND(D68=1,3=D69),(recap_target_leverage*OperatingModel!I13-'DebtSchedule'!I59)*recap_sponsor_share_pct,0)</f>
        <v/>
      </c>
      <c r="H94" s="46">
        <f>IF(4=D74,D76*OperatingModel!K13-'DebtSchedule'!K59,0)+IF(AND(D68=1,4=D69),(recap_target_leverage*OperatingModel!I13-'DebtSchedule'!I59)*recap_sponsor_share_pct,0)</f>
        <v/>
      </c>
      <c r="I94" s="46">
        <f>IF(5=D74,D76*OperatingModel!K13-'DebtSchedule'!K59,0)+IF(AND(D68=1,5=D69),(recap_target_leverage*OperatingModel!I13-'DebtSchedule'!I59)*recap_sponsor_share_pct,0)</f>
        <v/>
      </c>
      <c r="J94" s="46">
        <f>IF(6=D74,D76*OperatingModel!K13-'DebtSchedule'!K59,0)+IF(AND(D68=1,6=D69),(recap_target_leverage*OperatingModel!I13-'DebtSchedule'!I59)*recap_sponsor_share_pct,0)</f>
        <v/>
      </c>
      <c r="K94" s="46">
        <f>IF(7=D74,D76*OperatingModel!K13-'DebtSchedule'!K59,0)+IF(AND(D68=1,7=D69),(recap_target_leverage*OperatingModel!I13-'DebtSchedule'!I59)*recap_sponsor_share_pct,0)</f>
        <v/>
      </c>
      <c r="L94" s="46">
        <f>IF(8=D74,D76*OperatingModel!K13-'DebtSchedule'!K59,0)+IF(AND(D68=1,8=D69),(recap_target_leverage*OperatingModel!I13-'DebtSchedule'!I59)*recap_sponsor_share_pct,0)</f>
        <v/>
      </c>
      <c r="M94" s="46">
        <f>IF(9=D74,D76*OperatingModel!K13-'DebtSchedule'!K59,0)+IF(AND(D68=1,9=D69),(recap_target_leverage*OperatingModel!I13-'DebtSchedule'!I59)*recap_sponsor_share_pct,0)</f>
        <v/>
      </c>
    </row>
    <row r="95">
      <c r="A95" s="17" t="inlineStr">
        <is>
          <t>Secondary LBO</t>
        </is>
      </c>
      <c r="B95" s="2" t="inlineStr">
        <is>
          <t>Secondary LBO</t>
        </is>
      </c>
      <c r="D95" s="41">
        <f>-D10</f>
        <v/>
      </c>
      <c r="E95" s="46">
        <f>IF(1=D74,D77*OperatingModel!K13-'DebtSchedule'!K59,0)+IF(AND(D68=1,1=D69),(recap_target_leverage*OperatingModel!I13-'DebtSchedule'!I59)*recap_sponsor_share_pct,0)</f>
        <v/>
      </c>
      <c r="F95" s="46">
        <f>IF(2=D74,D77*OperatingModel!K13-'DebtSchedule'!K59,0)+IF(AND(D68=1,2=D69),(recap_target_leverage*OperatingModel!I13-'DebtSchedule'!I59)*recap_sponsor_share_pct,0)</f>
        <v/>
      </c>
      <c r="G95" s="46">
        <f>IF(3=D74,D77*OperatingModel!K13-'DebtSchedule'!K59,0)+IF(AND(D68=1,3=D69),(recap_target_leverage*OperatingModel!I13-'DebtSchedule'!I59)*recap_sponsor_share_pct,0)</f>
        <v/>
      </c>
      <c r="H95" s="46">
        <f>IF(4=D74,D77*OperatingModel!K13-'DebtSchedule'!K59,0)+IF(AND(D68=1,4=D69),(recap_target_leverage*OperatingModel!I13-'DebtSchedule'!I59)*recap_sponsor_share_pct,0)</f>
        <v/>
      </c>
      <c r="I95" s="46">
        <f>IF(5=D74,D77*OperatingModel!K13-'DebtSchedule'!K59,0)+IF(AND(D68=1,5=D69),(recap_target_leverage*OperatingModel!I13-'DebtSchedule'!I59)*recap_sponsor_share_pct,0)</f>
        <v/>
      </c>
      <c r="J95" s="46">
        <f>IF(6=D74,D77*OperatingModel!K13-'DebtSchedule'!K59,0)+IF(AND(D68=1,6=D69),(recap_target_leverage*OperatingModel!I13-'DebtSchedule'!I59)*recap_sponsor_share_pct,0)</f>
        <v/>
      </c>
      <c r="K95" s="46">
        <f>IF(7=D74,D77*OperatingModel!K13-'DebtSchedule'!K59,0)+IF(AND(D68=1,7=D69),(recap_target_leverage*OperatingModel!I13-'DebtSchedule'!I59)*recap_sponsor_share_pct,0)</f>
        <v/>
      </c>
      <c r="L95" s="46">
        <f>IF(8=D74,D77*OperatingModel!K13-'DebtSchedule'!K59,0)+IF(AND(D68=1,8=D69),(recap_target_leverage*OperatingModel!I13-'DebtSchedule'!I59)*recap_sponsor_share_pct,0)</f>
        <v/>
      </c>
      <c r="M95" s="46">
        <f>IF(9=D74,D77*OperatingModel!K13-'DebtSchedule'!K59,0)+IF(AND(D68=1,9=D69),(recap_target_leverage*OperatingModel!I13-'DebtSchedule'!I59)*recap_sponsor_share_pct,0)</f>
        <v/>
      </c>
    </row>
    <row r="97">
      <c r="A97" s="7" t="inlineStr">
        <is>
          <t>Returns summary</t>
        </is>
      </c>
      <c r="B97" s="8" t="inlineStr">
        <is>
          <t>Riepilogo ritorni (IRR / MoIC / CoC)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>
      <c r="A98" s="17" t="inlineStr">
        <is>
          <t>Strategic sale</t>
        </is>
      </c>
      <c r="B98" s="2" t="inlineStr">
        <is>
          <t>Vendita strategica</t>
        </is>
      </c>
    </row>
    <row r="99">
      <c r="A99" s="43" t="inlineStr">
        <is>
          <t>IRR (on cash-flow series)</t>
        </is>
      </c>
      <c r="B99" s="4" t="inlineStr">
        <is>
          <t>IRR (sulla serie di cassa)</t>
        </is>
      </c>
      <c r="D99" s="49">
        <f>IFERROR(IRR(D93:M93),0)</f>
        <v/>
      </c>
    </row>
    <row r="100">
      <c r="A100" s="43" t="inlineStr">
        <is>
          <t>MoIC (cash-on-cash)</t>
        </is>
      </c>
      <c r="B100" s="4" t="inlineStr">
        <is>
          <t>MoIC (multiplo su equity)</t>
        </is>
      </c>
      <c r="D100" s="57">
        <f>IFERROR(SUMIF(D93:M93,"&gt;0")/-SUMIF(D93:M93,"&lt;0"),0)</f>
        <v/>
      </c>
    </row>
    <row r="101">
      <c r="A101" s="43" t="inlineStr">
        <is>
          <t>Cash-on-cash (coc)</t>
        </is>
      </c>
      <c r="B101" s="4" t="inlineStr">
        <is>
          <t>Cash-on-cash</t>
        </is>
      </c>
      <c r="D101" s="57">
        <f>D100</f>
        <v/>
      </c>
    </row>
    <row r="103">
      <c r="A103" s="17" t="inlineStr">
        <is>
          <t>IPO</t>
        </is>
      </c>
      <c r="B103" s="2" t="inlineStr">
        <is>
          <t>IPO</t>
        </is>
      </c>
    </row>
    <row r="104">
      <c r="A104" s="43" t="inlineStr">
        <is>
          <t>IRR (on cash-flow series)</t>
        </is>
      </c>
      <c r="B104" s="4" t="inlineStr">
        <is>
          <t>IRR (sulla serie di cassa)</t>
        </is>
      </c>
      <c r="D104" s="49">
        <f>IFERROR(IRR(D94:M94),0)</f>
        <v/>
      </c>
    </row>
    <row r="105">
      <c r="A105" s="43" t="inlineStr">
        <is>
          <t>MoIC (cash-on-cash)</t>
        </is>
      </c>
      <c r="B105" s="4" t="inlineStr">
        <is>
          <t>MoIC (multiplo su equity)</t>
        </is>
      </c>
      <c r="D105" s="57">
        <f>IFERROR(SUMIF(D94:M94,"&gt;0")/-SUMIF(D94:M94,"&lt;0"),0)</f>
        <v/>
      </c>
    </row>
    <row r="106">
      <c r="A106" s="43" t="inlineStr">
        <is>
          <t>Cash-on-cash (coc)</t>
        </is>
      </c>
      <c r="B106" s="4" t="inlineStr">
        <is>
          <t>Cash-on-cash</t>
        </is>
      </c>
      <c r="D106" s="57">
        <f>D105</f>
        <v/>
      </c>
    </row>
    <row r="108">
      <c r="A108" s="17" t="inlineStr">
        <is>
          <t>Secondary LBO</t>
        </is>
      </c>
      <c r="B108" s="2" t="inlineStr">
        <is>
          <t>Secondary LBO</t>
        </is>
      </c>
    </row>
    <row r="109">
      <c r="A109" s="43" t="inlineStr">
        <is>
          <t>IRR (on cash-flow series)</t>
        </is>
      </c>
      <c r="B109" s="4" t="inlineStr">
        <is>
          <t>IRR (sulla serie di cassa)</t>
        </is>
      </c>
      <c r="D109" s="49">
        <f>IFERROR(IRR(D95:M95),0)</f>
        <v/>
      </c>
    </row>
    <row r="110">
      <c r="A110" s="43" t="inlineStr">
        <is>
          <t>MoIC (cash-on-cash)</t>
        </is>
      </c>
      <c r="B110" s="4" t="inlineStr">
        <is>
          <t>MoIC (multiplo su equity)</t>
        </is>
      </c>
      <c r="D110" s="57">
        <f>IFERROR(SUMIF(D95:M95,"&gt;0")/-SUMIF(D95:M95,"&lt;0"),0)</f>
        <v/>
      </c>
    </row>
    <row r="111">
      <c r="A111" s="43" t="inlineStr">
        <is>
          <t>Cash-on-cash (coc)</t>
        </is>
      </c>
      <c r="B111" s="4" t="inlineStr">
        <is>
          <t>Cash-on-cash</t>
        </is>
      </c>
      <c r="D111" s="57">
        <f>D110</f>
        <v/>
      </c>
    </row>
    <row r="113">
      <c r="A113" s="7" t="inlineStr">
        <is>
          <t>PIK accrual + Dividend recap (live compute)</t>
        </is>
      </c>
      <c r="B113" s="8" t="inlineStr">
        <is>
          <t>Accrual PIK + Dividend recap (computo dinamico)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3" t="inlineStr">
        <is>
          <t>PIK coupon rate (compound)</t>
        </is>
      </c>
      <c r="B114" s="4" t="inlineStr">
        <is>
          <t>Cedola PIK (compound)</t>
        </is>
      </c>
      <c r="D114" s="20" t="n">
        <v>0.075</v>
      </c>
    </row>
    <row r="115">
      <c r="A115" s="43" t="inlineStr">
        <is>
          <t>PIK tranche accrued principal at exit</t>
        </is>
      </c>
      <c r="B115" s="4" t="inlineStr">
        <is>
          <t>Principale PIK accruato all'uscita</t>
        </is>
      </c>
      <c r="D115" s="41">
        <f>D52*(1+pik_coupon_pct)^D74</f>
        <v/>
      </c>
    </row>
    <row r="116">
      <c r="A116" s="43" t="inlineStr">
        <is>
          <t>Dividend recap — distribution to sponsor</t>
        </is>
      </c>
      <c r="B116" s="4" t="inlineStr">
        <is>
          <t>Dividend recap — distribuzione</t>
        </is>
      </c>
      <c r="D116" s="46">
        <f>IF(D68=1,(recap_target_leverage*OperatingModel!I13-'DebtSchedule'!I59)*recap_sponsor_share_pct,0)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Quality Checks</t>
        </is>
      </c>
      <c r="B1" s="2" t="inlineStr">
        <is>
          <t>Controlli qualità</t>
        </is>
      </c>
    </row>
    <row r="2">
      <c r="A2" s="2" t="inlineStr">
        <is>
          <t>All checks must equal 1 before this model leaves the building.</t>
        </is>
      </c>
    </row>
    <row r="4">
      <c r="A4" s="60" t="inlineStr">
        <is>
          <t>ALL CHECKS PASS</t>
        </is>
      </c>
      <c r="B4" s="2" t="inlineStr">
        <is>
          <t>Tutti i controlli OK</t>
        </is>
      </c>
      <c r="C4" s="90">
        <f>IF(SUM($C$7,$C$8,$C$9,$C$10,$C$11,$C$12,$C$13,$C$14,$C$15,$C$16,$C$17,$C$18)=12,1,0)</f>
        <v/>
      </c>
    </row>
    <row r="6">
      <c r="A6" s="17" t="inlineStr">
        <is>
          <t>Check</t>
        </is>
      </c>
      <c r="B6" s="17" t="inlineStr">
        <is>
          <t>Check (IT)</t>
        </is>
      </c>
      <c r="C6" s="17" t="inlineStr">
        <is>
          <t>Pass</t>
        </is>
      </c>
    </row>
    <row r="7">
      <c r="A7" s="3" t="inlineStr">
        <is>
          <t>Sign: D&amp;A negative all periods</t>
        </is>
      </c>
      <c r="B7" s="4" t="inlineStr">
        <is>
          <t>Segno: Ammortamenti negativi</t>
        </is>
      </c>
      <c r="C7" s="53">
        <f>IF(SUM($D$7:$M$7)=10,1,0)</f>
        <v/>
      </c>
      <c r="D7" s="85">
        <f>IF('OperatingModel'!D15&lt;=0,1,0)</f>
        <v/>
      </c>
      <c r="E7" s="85">
        <f>IF('OperatingModel'!E15&lt;=0,1,0)</f>
        <v/>
      </c>
      <c r="F7" s="85">
        <f>IF('OperatingModel'!F15&lt;=0,1,0)</f>
        <v/>
      </c>
      <c r="G7" s="85">
        <f>IF('OperatingModel'!G15&lt;=0,1,0)</f>
        <v/>
      </c>
      <c r="H7" s="85">
        <f>IF('OperatingModel'!H15&lt;=0,1,0)</f>
        <v/>
      </c>
      <c r="I7" s="85">
        <f>IF('OperatingModel'!I15&lt;=0,1,0)</f>
        <v/>
      </c>
      <c r="J7" s="85">
        <f>IF('OperatingModel'!J15&lt;=0,1,0)</f>
        <v/>
      </c>
      <c r="K7" s="85">
        <f>IF('OperatingModel'!K15&lt;=0,1,0)</f>
        <v/>
      </c>
      <c r="L7" s="85">
        <f>IF('OperatingModel'!L15&lt;=0,1,0)</f>
        <v/>
      </c>
      <c r="M7" s="85">
        <f>IF('OperatingModel'!M15&lt;=0,1,0)</f>
        <v/>
      </c>
    </row>
    <row r="8">
      <c r="A8" s="3" t="inlineStr">
        <is>
          <t>Sign: Tax ≤ 0 all periods</t>
        </is>
      </c>
      <c r="B8" s="4" t="inlineStr">
        <is>
          <t>Segno: Imposte ≤ 0</t>
        </is>
      </c>
      <c r="C8" s="53">
        <f>IF(SUM($D$8:$M$8)=10,1,0)</f>
        <v/>
      </c>
      <c r="D8" s="85">
        <f>IF('OperatingModel'!D20&lt;=0,1,0)</f>
        <v/>
      </c>
      <c r="E8" s="85">
        <f>IF('OperatingModel'!E20&lt;=0,1,0)</f>
        <v/>
      </c>
      <c r="F8" s="85">
        <f>IF('OperatingModel'!F20&lt;=0,1,0)</f>
        <v/>
      </c>
      <c r="G8" s="85">
        <f>IF('OperatingModel'!G20&lt;=0,1,0)</f>
        <v/>
      </c>
      <c r="H8" s="85">
        <f>IF('OperatingModel'!H20&lt;=0,1,0)</f>
        <v/>
      </c>
      <c r="I8" s="85">
        <f>IF('OperatingModel'!I20&lt;=0,1,0)</f>
        <v/>
      </c>
      <c r="J8" s="85">
        <f>IF('OperatingModel'!J20&lt;=0,1,0)</f>
        <v/>
      </c>
      <c r="K8" s="85">
        <f>IF('OperatingModel'!K20&lt;=0,1,0)</f>
        <v/>
      </c>
      <c r="L8" s="85">
        <f>IF('OperatingModel'!L20&lt;=0,1,0)</f>
        <v/>
      </c>
      <c r="M8" s="85">
        <f>IF('OperatingModel'!M20&lt;=0,1,0)</f>
        <v/>
      </c>
    </row>
    <row r="9">
      <c r="A9" s="3" t="inlineStr">
        <is>
          <t>Sign: Capex negative all periods</t>
        </is>
      </c>
      <c r="B9" s="4" t="inlineStr">
        <is>
          <t>Segno: Capex negativo</t>
        </is>
      </c>
      <c r="C9" s="53">
        <f>IF(SUM($D$9:$M$9)=10,1,0)</f>
        <v/>
      </c>
      <c r="D9" s="85">
        <f>IF('OperatingModel'!D26&lt;=0,1,0)</f>
        <v/>
      </c>
      <c r="E9" s="85">
        <f>IF('OperatingModel'!E26&lt;=0,1,0)</f>
        <v/>
      </c>
      <c r="F9" s="85">
        <f>IF('OperatingModel'!F26&lt;=0,1,0)</f>
        <v/>
      </c>
      <c r="G9" s="85">
        <f>IF('OperatingModel'!G26&lt;=0,1,0)</f>
        <v/>
      </c>
      <c r="H9" s="85">
        <f>IF('OperatingModel'!H26&lt;=0,1,0)</f>
        <v/>
      </c>
      <c r="I9" s="85">
        <f>IF('OperatingModel'!I26&lt;=0,1,0)</f>
        <v/>
      </c>
      <c r="J9" s="85">
        <f>IF('OperatingModel'!J26&lt;=0,1,0)</f>
        <v/>
      </c>
      <c r="K9" s="85">
        <f>IF('OperatingModel'!K26&lt;=0,1,0)</f>
        <v/>
      </c>
      <c r="L9" s="85">
        <f>IF('OperatingModel'!L26&lt;=0,1,0)</f>
        <v/>
      </c>
      <c r="M9" s="85">
        <f>IF('OperatingModel'!M26&lt;=0,1,0)</f>
        <v/>
      </c>
    </row>
    <row r="10">
      <c r="A10" s="3" t="inlineStr">
        <is>
          <t>Sign: Interest expense ≤ 0</t>
        </is>
      </c>
      <c r="B10" s="4" t="inlineStr">
        <is>
          <t>Segno: Oneri finanziari ≤ 0</t>
        </is>
      </c>
      <c r="C10" s="53">
        <f>IF(SUM($D$10:$M$10)=10,1,0)</f>
        <v/>
      </c>
      <c r="D10" s="85">
        <f>IF('OperatingModel'!D18&lt;=0,1,0)</f>
        <v/>
      </c>
      <c r="E10" s="85">
        <f>IF('OperatingModel'!E18&lt;=0,1,0)</f>
        <v/>
      </c>
      <c r="F10" s="85">
        <f>IF('OperatingModel'!F18&lt;=0,1,0)</f>
        <v/>
      </c>
      <c r="G10" s="85">
        <f>IF('OperatingModel'!G18&lt;=0,1,0)</f>
        <v/>
      </c>
      <c r="H10" s="85">
        <f>IF('OperatingModel'!H18&lt;=0,1,0)</f>
        <v/>
      </c>
      <c r="I10" s="85">
        <f>IF('OperatingModel'!I18&lt;=0,1,0)</f>
        <v/>
      </c>
      <c r="J10" s="85">
        <f>IF('OperatingModel'!J18&lt;=0,1,0)</f>
        <v/>
      </c>
      <c r="K10" s="85">
        <f>IF('OperatingModel'!K18&lt;=0,1,0)</f>
        <v/>
      </c>
      <c r="L10" s="85">
        <f>IF('OperatingModel'!L18&lt;=0,1,0)</f>
        <v/>
      </c>
      <c r="M10" s="85">
        <f>IF('OperatingModel'!M18&lt;=0,1,0)</f>
        <v/>
      </c>
    </row>
    <row r="11">
      <c r="A11" s="3" t="inlineStr">
        <is>
          <t>Debt closing non-negative</t>
        </is>
      </c>
      <c r="B11" s="4" t="inlineStr">
        <is>
          <t>Debito finale ≥ 0</t>
        </is>
      </c>
      <c r="C11" s="53">
        <f>IF(SUM($D$11:$M$11)=10,1,0)</f>
        <v/>
      </c>
      <c r="D11" s="85">
        <f>IF('DebtSchedule'!D59&gt;=-0.01,1,0)</f>
        <v/>
      </c>
      <c r="E11" s="85">
        <f>IF('DebtSchedule'!E59&gt;=-0.01,1,0)</f>
        <v/>
      </c>
      <c r="F11" s="85">
        <f>IF('DebtSchedule'!F59&gt;=-0.01,1,0)</f>
        <v/>
      </c>
      <c r="G11" s="85">
        <f>IF('DebtSchedule'!G59&gt;=-0.01,1,0)</f>
        <v/>
      </c>
      <c r="H11" s="85">
        <f>IF('DebtSchedule'!H59&gt;=-0.01,1,0)</f>
        <v/>
      </c>
      <c r="I11" s="85">
        <f>IF('DebtSchedule'!I59&gt;=-0.01,1,0)</f>
        <v/>
      </c>
      <c r="J11" s="85">
        <f>IF('DebtSchedule'!J59&gt;=-0.01,1,0)</f>
        <v/>
      </c>
      <c r="K11" s="85">
        <f>IF('DebtSchedule'!K59&gt;=-0.01,1,0)</f>
        <v/>
      </c>
      <c r="L11" s="85">
        <f>IF('DebtSchedule'!L59&gt;=-0.01,1,0)</f>
        <v/>
      </c>
      <c r="M11" s="85">
        <f>IF('DebtSchedule'!M59&gt;=-0.01,1,0)</f>
        <v/>
      </c>
    </row>
    <row r="12">
      <c r="A12" s="3" t="inlineStr">
        <is>
          <t>Covenant breach counter = 0 (active scenario)</t>
        </is>
      </c>
      <c r="B12" s="4" t="inlineStr">
        <is>
          <t>Contatore violazioni covenant = 0 (scenario attivo)</t>
        </is>
      </c>
      <c r="C12" s="85">
        <f>IF('Covenants'!$C$20=0,1,0)</f>
        <v/>
      </c>
    </row>
    <row r="13">
      <c r="A13" s="3" t="inlineStr">
        <is>
          <t>Revenue ≥ 0 all periods</t>
        </is>
      </c>
      <c r="B13" s="4" t="inlineStr">
        <is>
          <t>Ricavi ≥ 0</t>
        </is>
      </c>
      <c r="C13" s="53">
        <f>IF(SUM($D$13:$M$13)=10,1,0)</f>
        <v/>
      </c>
      <c r="D13" s="85">
        <f>IF('OperatingModel'!D9&gt;=0,1,0)</f>
        <v/>
      </c>
      <c r="E13" s="85">
        <f>IF('OperatingModel'!E9&gt;=0,1,0)</f>
        <v/>
      </c>
      <c r="F13" s="85">
        <f>IF('OperatingModel'!F9&gt;=0,1,0)</f>
        <v/>
      </c>
      <c r="G13" s="85">
        <f>IF('OperatingModel'!G9&gt;=0,1,0)</f>
        <v/>
      </c>
      <c r="H13" s="85">
        <f>IF('OperatingModel'!H9&gt;=0,1,0)</f>
        <v/>
      </c>
      <c r="I13" s="85">
        <f>IF('OperatingModel'!I9&gt;=0,1,0)</f>
        <v/>
      </c>
      <c r="J13" s="85">
        <f>IF('OperatingModel'!J9&gt;=0,1,0)</f>
        <v/>
      </c>
      <c r="K13" s="85">
        <f>IF('OperatingModel'!K9&gt;=0,1,0)</f>
        <v/>
      </c>
      <c r="L13" s="85">
        <f>IF('OperatingModel'!L9&gt;=0,1,0)</f>
        <v/>
      </c>
      <c r="M13" s="85">
        <f>IF('OperatingModel'!M9&gt;=0,1,0)</f>
        <v/>
      </c>
    </row>
    <row r="14">
      <c r="A14" s="3" t="inlineStr">
        <is>
          <t>EBITDA margin in [0%, 60%]</t>
        </is>
      </c>
      <c r="B14" s="4" t="inlineStr">
        <is>
          <t>Margine EBITDA in [0%, 60%]</t>
        </is>
      </c>
      <c r="C14" s="53">
        <f>IF(SUM($D$14:$M$14)=10,1,0)</f>
        <v/>
      </c>
      <c r="D14" s="85">
        <f>IF(AND('OperatingModel'!D12&gt;=0,'OperatingModel'!D12&lt;=0.6),1,0)</f>
        <v/>
      </c>
      <c r="E14" s="85">
        <f>IF(AND('OperatingModel'!E12&gt;=0,'OperatingModel'!E12&lt;=0.6),1,0)</f>
        <v/>
      </c>
      <c r="F14" s="85">
        <f>IF(AND('OperatingModel'!F12&gt;=0,'OperatingModel'!F12&lt;=0.6),1,0)</f>
        <v/>
      </c>
      <c r="G14" s="85">
        <f>IF(AND('OperatingModel'!G12&gt;=0,'OperatingModel'!G12&lt;=0.6),1,0)</f>
        <v/>
      </c>
      <c r="H14" s="85">
        <f>IF(AND('OperatingModel'!H12&gt;=0,'OperatingModel'!H12&lt;=0.6),1,0)</f>
        <v/>
      </c>
      <c r="I14" s="85">
        <f>IF(AND('OperatingModel'!I12&gt;=0,'OperatingModel'!I12&lt;=0.6),1,0)</f>
        <v/>
      </c>
      <c r="J14" s="85">
        <f>IF(AND('OperatingModel'!J12&gt;=0,'OperatingModel'!J12&lt;=0.6),1,0)</f>
        <v/>
      </c>
      <c r="K14" s="85">
        <f>IF(AND('OperatingModel'!K12&gt;=0,'OperatingModel'!K12&lt;=0.6),1,0)</f>
        <v/>
      </c>
      <c r="L14" s="85">
        <f>IF(AND('OperatingModel'!L12&gt;=0,'OperatingModel'!L12&lt;=0.6),1,0)</f>
        <v/>
      </c>
      <c r="M14" s="85">
        <f>IF(AND('OperatingModel'!M12&gt;=0,'OperatingModel'!M12&lt;=0.6),1,0)</f>
        <v/>
      </c>
    </row>
    <row r="15">
      <c r="A15" s="3" t="inlineStr">
        <is>
          <t>No errors on Net income</t>
        </is>
      </c>
      <c r="B15" s="4" t="inlineStr">
        <is>
          <t>Nessun errore su Utile netto</t>
        </is>
      </c>
      <c r="C15" s="53">
        <f>IF(SUM($D$15:$M$15)=10,1,0)</f>
        <v/>
      </c>
      <c r="D15" s="85">
        <f>IF(ISERROR('OperatingModel'!D21),0,1)</f>
        <v/>
      </c>
      <c r="E15" s="85">
        <f>IF(ISERROR('OperatingModel'!E21),0,1)</f>
        <v/>
      </c>
      <c r="F15" s="85">
        <f>IF(ISERROR('OperatingModel'!F21),0,1)</f>
        <v/>
      </c>
      <c r="G15" s="85">
        <f>IF(ISERROR('OperatingModel'!G21),0,1)</f>
        <v/>
      </c>
      <c r="H15" s="85">
        <f>IF(ISERROR('OperatingModel'!H21),0,1)</f>
        <v/>
      </c>
      <c r="I15" s="85">
        <f>IF(ISERROR('OperatingModel'!I21),0,1)</f>
        <v/>
      </c>
      <c r="J15" s="85">
        <f>IF(ISERROR('OperatingModel'!J21),0,1)</f>
        <v/>
      </c>
      <c r="K15" s="85">
        <f>IF(ISERROR('OperatingModel'!K21),0,1)</f>
        <v/>
      </c>
      <c r="L15" s="85">
        <f>IF(ISERROR('OperatingModel'!L21),0,1)</f>
        <v/>
      </c>
      <c r="M15" s="85">
        <f>IF(ISERROR('OperatingModel'!M21),0,1)</f>
        <v/>
      </c>
    </row>
    <row r="16">
      <c r="A16" s="3" t="inlineStr">
        <is>
          <t>Arrangement fee paid at close year only</t>
        </is>
      </c>
      <c r="B16" s="4" t="inlineStr">
        <is>
          <t>Commissione di strutturazione al closing</t>
        </is>
      </c>
      <c r="C16" s="85">
        <f>IF(AND('DebtSchedule'!G15&gt;=0,'DebtSchedule'!G25&gt;=0),1,0)</f>
        <v/>
      </c>
    </row>
    <row r="17">
      <c r="A17" s="3" t="inlineStr">
        <is>
          <t>Total debt → 0 by final period</t>
        </is>
      </c>
      <c r="B17" s="4" t="inlineStr">
        <is>
          <t>Debito totale → 0 a fine piano</t>
        </is>
      </c>
      <c r="C17" s="85">
        <f>IF('DebtSchedule'!M59&lt;=0.1,1,0)</f>
        <v/>
      </c>
    </row>
    <row r="18">
      <c r="A18" s="3" t="inlineStr">
        <is>
          <t>Net income = EBT + tax (tie)</t>
        </is>
      </c>
      <c r="B18" s="4" t="inlineStr">
        <is>
          <t>Utile netto = EBT + imposte</t>
        </is>
      </c>
      <c r="C18" s="53">
        <f>IF(SUM($D$18:$M$18)=10,1,0)</f>
        <v/>
      </c>
      <c r="D18" s="85">
        <f>IF(ABS('OperatingModel'!D21-('OperatingModel'!D19+'OperatingModel'!D20))&lt;=0.01,1,0)</f>
        <v/>
      </c>
      <c r="E18" s="85">
        <f>IF(ABS('OperatingModel'!E21-('OperatingModel'!E19+'OperatingModel'!E20))&lt;=0.01,1,0)</f>
        <v/>
      </c>
      <c r="F18" s="85">
        <f>IF(ABS('OperatingModel'!F21-('OperatingModel'!F19+'OperatingModel'!F20))&lt;=0.01,1,0)</f>
        <v/>
      </c>
      <c r="G18" s="85">
        <f>IF(ABS('OperatingModel'!G21-('OperatingModel'!G19+'OperatingModel'!G20))&lt;=0.01,1,0)</f>
        <v/>
      </c>
      <c r="H18" s="85">
        <f>IF(ABS('OperatingModel'!H21-('OperatingModel'!H19+'OperatingModel'!H20))&lt;=0.01,1,0)</f>
        <v/>
      </c>
      <c r="I18" s="85">
        <f>IF(ABS('OperatingModel'!I21-('OperatingModel'!I19+'OperatingModel'!I20))&lt;=0.01,1,0)</f>
        <v/>
      </c>
      <c r="J18" s="85">
        <f>IF(ABS('OperatingModel'!J21-('OperatingModel'!J19+'OperatingModel'!J20))&lt;=0.01,1,0)</f>
        <v/>
      </c>
      <c r="K18" s="85">
        <f>IF(ABS('OperatingModel'!K21-('OperatingModel'!K19+'OperatingModel'!K20))&lt;=0.01,1,0)</f>
        <v/>
      </c>
      <c r="L18" s="85">
        <f>IF(ABS('OperatingModel'!L21-('OperatingModel'!L19+'OperatingModel'!L20))&lt;=0.01,1,0)</f>
        <v/>
      </c>
      <c r="M18" s="85">
        <f>IF(ABS('OperatingModel'!M21-('OperatingModel'!M19+'OperatingModel'!M20))&lt;=0.01,1,0)</f>
        <v/>
      </c>
    </row>
  </sheetData>
  <conditionalFormatting sqref="C4">
    <cfRule type="cellIs" priority="1" operator="equal" dxfId="3">
      <formula>1</formula>
    </cfRule>
    <cfRule type="cellIs" priority="2" operator="equal" dxfId="4">
      <formula>0</formula>
    </cfRule>
  </conditionalFormatting>
  <conditionalFormatting sqref="C7:C19">
    <cfRule type="cellIs" priority="3" operator="equal" dxfId="5">
      <formula>1</formula>
    </cfRule>
    <cfRule type="cellIs" priority="4" operator="equal" dxfId="6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99" t="inlineStr">
        <is>
          <t>ModelForge MOAT — Live-Formula Verification</t>
        </is>
      </c>
    </row>
    <row r="2">
      <c r="A2" s="95" t="inlineStr">
        <is>
          <t>Workbook: lbo_us_saas.xlsx</t>
        </is>
      </c>
    </row>
    <row r="3">
      <c r="A3" s="96" t="inlineStr">
        <is>
          <t>Core-output formula density: 97.5%</t>
        </is>
      </c>
    </row>
    <row r="4">
      <c r="A4" s="100" t="inlineStr">
        <is>
          <t>Overall: FAIL  (3/4 gates)</t>
        </is>
      </c>
    </row>
    <row r="6">
      <c r="A6" s="101" t="inlineStr">
        <is>
          <t>Gate</t>
        </is>
      </c>
      <c r="B6" s="101" t="inlineStr">
        <is>
          <t>Verdict</t>
        </is>
      </c>
      <c r="C6" s="101" t="inlineStr">
        <is>
          <t>Metric</t>
        </is>
      </c>
      <c r="D6" s="101" t="inlineStr">
        <is>
          <t>Threshold</t>
        </is>
      </c>
      <c r="E6" s="101" t="inlineStr">
        <is>
          <t>Detail</t>
        </is>
      </c>
    </row>
    <row r="7" ht="30" customHeight="1">
      <c r="A7" s="102" t="inlineStr">
        <is>
          <t>formula_density</t>
        </is>
      </c>
      <c r="B7" s="102" t="inlineStr">
        <is>
          <t>PASS</t>
        </is>
      </c>
      <c r="C7" s="102" t="inlineStr">
        <is>
          <t>0.9751</t>
        </is>
      </c>
      <c r="D7" s="102" t="inlineStr">
        <is>
          <t>0.9000</t>
        </is>
      </c>
      <c r="E7" s="102" t="inlineStr">
        <is>
          <t>All core output sheets meet density threshold</t>
        </is>
      </c>
    </row>
    <row r="8" ht="30" customHeight="1">
      <c r="A8" s="102" t="inlineStr">
        <is>
          <t>reference_graph</t>
        </is>
      </c>
      <c r="B8" s="102" t="inlineStr">
        <is>
          <t>PASS</t>
        </is>
      </c>
      <c r="C8" s="102" t="inlineStr">
        <is>
          <t>0.00</t>
        </is>
      </c>
      <c r="D8" s="102" t="inlineStr">
        <is>
          <t>0.00</t>
        </is>
      </c>
      <c r="E8" s="102" t="inlineStr">
        <is>
          <t>No magic-number literals in output formulas</t>
        </is>
      </c>
    </row>
    <row r="9" ht="30" customHeight="1">
      <c r="A9" s="103" t="inlineStr">
        <is>
          <t>no_orphan_inputs</t>
        </is>
      </c>
      <c r="B9" s="103" t="inlineStr">
        <is>
          <t>FAIL</t>
        </is>
      </c>
      <c r="C9" s="103" t="inlineStr">
        <is>
          <t>7.00</t>
        </is>
      </c>
      <c r="D9" s="103" t="inlineStr">
        <is>
          <t>5.00</t>
        </is>
      </c>
      <c r="E9" s="103" t="inlineStr">
        <is>
          <t>7 orphan named range(s): exit_year_input, historical_ebitda_lfy, mezz_commitment_fee, mezz_oid, purchase_price_eur_m</t>
        </is>
      </c>
    </row>
    <row r="10" ht="30" customHeight="1">
      <c r="A10" s="102" t="inlineStr">
        <is>
          <t>recalculation</t>
        </is>
      </c>
      <c r="B10" s="102" t="inlineStr">
        <is>
          <t>PASS</t>
        </is>
      </c>
      <c r="C10" s="102" t="inlineStr">
        <is>
          <t>0.00</t>
        </is>
      </c>
      <c r="D10" s="102" t="inlineStr">
        <is>
          <t>0</t>
        </is>
      </c>
      <c r="E10" s="102" t="inlineStr">
        <is>
          <t>All formula values reconcile (tol=1e-04)</t>
        </is>
      </c>
    </row>
    <row r="12">
      <c r="A12" s="96" t="inlineStr">
        <is>
          <t>Per-sheet formula density</t>
        </is>
      </c>
    </row>
    <row r="13">
      <c r="A13" s="101" t="inlineStr">
        <is>
          <t>Sheet</t>
        </is>
      </c>
      <c r="B13" s="101" t="inlineStr">
        <is>
          <t>Class</t>
        </is>
      </c>
      <c r="C13" s="101" t="inlineStr">
        <is>
          <t>Numeric cells</t>
        </is>
      </c>
      <c r="D13" s="101" t="inlineStr">
        <is>
          <t>Formula cells</t>
        </is>
      </c>
      <c r="E13" s="101" t="inlineStr">
        <is>
          <t>Formula %</t>
        </is>
      </c>
      <c r="F13" s="101" t="inlineStr">
        <is>
          <t>Magic-number cells</t>
        </is>
      </c>
    </row>
    <row r="14">
      <c r="A14" s="104" t="inlineStr">
        <is>
          <t>RedFlags</t>
        </is>
      </c>
      <c r="B14" s="104" t="inlineStr">
        <is>
          <t>audit</t>
        </is>
      </c>
      <c r="C14" s="105" t="n">
        <v>0</v>
      </c>
      <c r="D14" s="105" t="n">
        <v>0</v>
      </c>
      <c r="E14" s="104" t="inlineStr">
        <is>
          <t>n/a</t>
        </is>
      </c>
      <c r="F14" s="105" t="n">
        <v>0</v>
      </c>
    </row>
    <row r="15">
      <c r="A15" s="104" t="inlineStr">
        <is>
          <t>Cover</t>
        </is>
      </c>
      <c r="B15" s="104" t="inlineStr">
        <is>
          <t>input</t>
        </is>
      </c>
      <c r="C15" s="105" t="n">
        <v>2</v>
      </c>
      <c r="D15" s="105" t="n">
        <v>1</v>
      </c>
      <c r="E15" s="104" t="inlineStr">
        <is>
          <t>50.0%</t>
        </is>
      </c>
      <c r="F15" s="105" t="n">
        <v>0</v>
      </c>
    </row>
    <row r="16">
      <c r="A16" s="104" t="inlineStr">
        <is>
          <t>Sources</t>
        </is>
      </c>
      <c r="B16" s="104" t="inlineStr">
        <is>
          <t>input</t>
        </is>
      </c>
      <c r="C16" s="105" t="n">
        <v>1</v>
      </c>
      <c r="D16" s="105" t="n">
        <v>0</v>
      </c>
      <c r="E16" s="104" t="inlineStr">
        <is>
          <t>0.0%</t>
        </is>
      </c>
      <c r="F16" s="105" t="n">
        <v>0</v>
      </c>
    </row>
    <row r="17">
      <c r="A17" s="104" t="inlineStr">
        <is>
          <t>Assumptions</t>
        </is>
      </c>
      <c r="B17" s="104" t="inlineStr">
        <is>
          <t>input</t>
        </is>
      </c>
      <c r="C17" s="105" t="n">
        <v>208</v>
      </c>
      <c r="D17" s="105" t="n">
        <v>52</v>
      </c>
      <c r="E17" s="104" t="inlineStr">
        <is>
          <t>25.0%</t>
        </is>
      </c>
      <c r="F17" s="105" t="n">
        <v>0</v>
      </c>
    </row>
    <row r="18">
      <c r="A18" s="104" t="inlineStr">
        <is>
          <t>OperatingModel</t>
        </is>
      </c>
      <c r="B18" s="104" t="inlineStr">
        <is>
          <t>core_output</t>
        </is>
      </c>
      <c r="C18" s="105" t="n">
        <v>150</v>
      </c>
      <c r="D18" s="105" t="n">
        <v>140</v>
      </c>
      <c r="E18" s="104" t="inlineStr">
        <is>
          <t>93.3%</t>
        </is>
      </c>
      <c r="F18" s="105" t="n">
        <v>0</v>
      </c>
    </row>
    <row r="19">
      <c r="A19" s="104" t="inlineStr">
        <is>
          <t>DebtSchedule</t>
        </is>
      </c>
      <c r="B19" s="104" t="inlineStr">
        <is>
          <t>core_output</t>
        </is>
      </c>
      <c r="C19" s="105" t="n">
        <v>188</v>
      </c>
      <c r="D19" s="105" t="n">
        <v>188</v>
      </c>
      <c r="E19" s="104" t="inlineStr">
        <is>
          <t>100.0%</t>
        </is>
      </c>
      <c r="F19" s="105" t="n">
        <v>0</v>
      </c>
    </row>
    <row r="20">
      <c r="A20" s="104" t="inlineStr">
        <is>
          <t>Covenants</t>
        </is>
      </c>
      <c r="B20" s="104" t="inlineStr">
        <is>
          <t>core_output</t>
        </is>
      </c>
      <c r="C20" s="105" t="n">
        <v>65</v>
      </c>
      <c r="D20" s="105" t="n">
        <v>64</v>
      </c>
      <c r="E20" s="104" t="inlineStr">
        <is>
          <t>98.5%</t>
        </is>
      </c>
      <c r="F20" s="105" t="n">
        <v>0</v>
      </c>
    </row>
    <row r="21">
      <c r="A21" s="104" t="inlineStr">
        <is>
          <t>Returns</t>
        </is>
      </c>
      <c r="B21" s="104" t="inlineStr">
        <is>
          <t>core_output</t>
        </is>
      </c>
      <c r="C21" s="105" t="n">
        <v>39</v>
      </c>
      <c r="D21" s="105" t="n">
        <v>39</v>
      </c>
      <c r="E21" s="104" t="inlineStr">
        <is>
          <t>100.0%</t>
        </is>
      </c>
      <c r="F21" s="105" t="n">
        <v>0</v>
      </c>
    </row>
    <row r="22">
      <c r="A22" s="104" t="inlineStr">
        <is>
          <t>SourcesUses</t>
        </is>
      </c>
      <c r="B22" s="104" t="inlineStr">
        <is>
          <t>unknown</t>
        </is>
      </c>
      <c r="C22" s="105" t="n">
        <v>112</v>
      </c>
      <c r="D22" s="105" t="n">
        <v>60</v>
      </c>
      <c r="E22" s="104" t="inlineStr">
        <is>
          <t>53.6%</t>
        </is>
      </c>
      <c r="F22" s="105" t="n">
        <v>0</v>
      </c>
    </row>
    <row r="23">
      <c r="A23" s="104" t="inlineStr">
        <is>
          <t>QC</t>
        </is>
      </c>
      <c r="B23" s="104" t="inlineStr">
        <is>
          <t>audit</t>
        </is>
      </c>
      <c r="C23" s="105" t="n">
        <v>103</v>
      </c>
      <c r="D23" s="105" t="n">
        <v>103</v>
      </c>
      <c r="E23" s="104" t="inlineStr">
        <is>
          <t>100.0%</t>
        </is>
      </c>
      <c r="F23" s="105" t="n">
        <v>0</v>
      </c>
    </row>
    <row r="24">
      <c r="A24" s="104" t="inlineStr">
        <is>
          <t>ComplianceCheck</t>
        </is>
      </c>
      <c r="B24" s="104" t="inlineStr">
        <is>
          <t>audit</t>
        </is>
      </c>
      <c r="C24" s="105" t="n">
        <v>13</v>
      </c>
      <c r="D24" s="105" t="n">
        <v>5</v>
      </c>
      <c r="E24" s="104" t="inlineStr">
        <is>
          <t>38.5%</t>
        </is>
      </c>
      <c r="F24" s="105" t="n">
        <v>0</v>
      </c>
    </row>
    <row r="25">
      <c r="A25" s="104" t="inlineStr">
        <is>
          <t>SensitivityAnalysis</t>
        </is>
      </c>
      <c r="B25" s="104" t="inlineStr">
        <is>
          <t>audit</t>
        </is>
      </c>
      <c r="C25" s="105" t="n">
        <v>78</v>
      </c>
      <c r="D25" s="105" t="n">
        <v>57</v>
      </c>
      <c r="E25" s="104" t="inlineStr">
        <is>
          <t>73.1%</t>
        </is>
      </c>
      <c r="F25" s="105" t="n">
        <v>0</v>
      </c>
    </row>
    <row r="26">
      <c r="A26" s="104" t="inlineStr">
        <is>
          <t>MonteCarlo</t>
        </is>
      </c>
      <c r="B26" s="104" t="inlineStr">
        <is>
          <t>simulation</t>
        </is>
      </c>
      <c r="C26" s="105" t="n">
        <v>115</v>
      </c>
      <c r="D26" s="105" t="n">
        <v>15</v>
      </c>
      <c r="E26" s="104" t="inlineStr">
        <is>
          <t>13.0%</t>
        </is>
      </c>
      <c r="F26" s="105" t="n">
        <v>0</v>
      </c>
    </row>
    <row r="27">
      <c r="A27" s="104" t="inlineStr">
        <is>
          <t>Reproducibility</t>
        </is>
      </c>
      <c r="B27" s="104" t="inlineStr">
        <is>
          <t>audit</t>
        </is>
      </c>
      <c r="C27" s="105" t="n">
        <v>1</v>
      </c>
      <c r="D27" s="105" t="n">
        <v>1</v>
      </c>
      <c r="E27" s="104" t="inlineStr">
        <is>
          <t>100.0%</t>
        </is>
      </c>
      <c r="F27" s="105" t="n">
        <v>0</v>
      </c>
    </row>
    <row r="30">
      <c r="A30" s="96" t="inlineStr">
        <is>
          <t>Orphan named ranges (7):</t>
        </is>
      </c>
    </row>
    <row r="31">
      <c r="A31" s="95" t="inlineStr">
        <is>
          <t>exit_year_input, historical_ebitda_lfy, mezz_commitment_fee, mezz_oid, purchase_price_eur_m, senior_tl_commitment_fee, senior_tl_oid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Compliance Check</t>
        </is>
      </c>
      <c r="B1" s="2" t="inlineStr">
        <is>
          <t>Controllo di conformità</t>
        </is>
      </c>
    </row>
    <row r="2">
      <c r="A2" s="2" t="inlineStr">
        <is>
          <t>AIFMD II / IFRS 9 / Basel III-IV / GACS — Italian &amp; EU regulatory plumbing</t>
        </is>
      </c>
    </row>
    <row r="5">
      <c r="A5" s="7" t="inlineStr">
        <is>
          <t>AIFMD II leverage &amp; concentration</t>
        </is>
      </c>
      <c r="B5" s="8" t="inlineStr">
        <is>
          <t>AIFMD II leva &amp; concentrazione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13" t="inlineStr">
        <is>
          <t>AIF type (open/closed)</t>
        </is>
      </c>
      <c r="B6" s="2" t="inlineStr">
        <is>
          <t>Tipo AIF</t>
        </is>
      </c>
      <c r="D6" s="26" t="inlineStr">
        <is>
          <t>closed</t>
        </is>
      </c>
    </row>
    <row r="7">
      <c r="A7" s="13" t="inlineStr">
        <is>
          <t>AIFMD II leverage cap — open-ended</t>
        </is>
      </c>
      <c r="B7" s="2" t="inlineStr">
        <is>
          <t>Limite leva AIFMD II — aperto</t>
        </is>
      </c>
      <c r="D7" s="59" t="n">
        <v>1.75</v>
      </c>
    </row>
    <row r="8">
      <c r="A8" s="13" t="inlineStr">
        <is>
          <t>AIFMD II leverage cap — closed-ended</t>
        </is>
      </c>
      <c r="B8" s="2" t="inlineStr">
        <is>
          <t>Limite leva AIFMD II — chiuso</t>
        </is>
      </c>
      <c r="D8" s="59" t="n">
        <v>3</v>
      </c>
    </row>
    <row r="9">
      <c r="A9" s="13" t="inlineStr">
        <is>
          <t>AIFMD II leverage cap (applied)</t>
        </is>
      </c>
      <c r="B9" s="2" t="inlineStr">
        <is>
          <t>Limite AIFMD II (applicato)</t>
        </is>
      </c>
      <c r="D9" s="49">
        <f>IF($D$6="open",aif_leverage_cap_open,aif_leverage_cap_closed)</f>
        <v/>
      </c>
    </row>
    <row r="10">
      <c r="A10" s="13" t="inlineStr">
        <is>
          <t>Actual portfolio leverage</t>
        </is>
      </c>
      <c r="B10" s="2" t="inlineStr">
        <is>
          <t>Leva effettiva</t>
        </is>
      </c>
      <c r="D10" s="59" t="n">
        <v>1.5</v>
      </c>
    </row>
    <row r="11">
      <c r="A11" s="17" t="inlineStr">
        <is>
          <t>AIFMD II leverage compliance</t>
        </is>
      </c>
      <c r="D11" s="91">
        <f>IF(aif_actual_leverage&lt;=$D$9,"PASS","FAIL")</f>
        <v/>
      </c>
    </row>
    <row r="13">
      <c r="A13" s="13" t="inlineStr">
        <is>
          <t>Largest single borrower % NAV</t>
        </is>
      </c>
      <c r="B13" s="2" t="inlineStr">
        <is>
          <t>Maggior debitore % NAV</t>
        </is>
      </c>
      <c r="D13" s="59" t="n">
        <v>0.15</v>
      </c>
    </row>
    <row r="14">
      <c r="A14" s="13" t="inlineStr">
        <is>
          <t>AIFMD II single-borrower cap</t>
        </is>
      </c>
      <c r="B14" s="2" t="inlineStr">
        <is>
          <t>Limite singolo debitore</t>
        </is>
      </c>
      <c r="D14" s="59" t="n">
        <v>0.2</v>
      </c>
    </row>
    <row r="15">
      <c r="A15" s="17" t="inlineStr">
        <is>
          <t>Single-borrower compliance</t>
        </is>
      </c>
      <c r="D15" s="76">
        <f>IF(aif_largest_single_borrower_pct_nav&lt;=aif_single_borrower_cap,"PASS","FAIL")</f>
        <v/>
      </c>
    </row>
    <row r="17">
      <c r="A17" s="7" t="inlineStr">
        <is>
          <t>Loan-originating AIF status</t>
        </is>
      </c>
      <c r="B17" s="8" t="inlineStr">
        <is>
          <t>Classificazione AIF con origination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13" t="inlineStr">
        <is>
          <t>Originated loans % NAV</t>
        </is>
      </c>
      <c r="B18" s="2" t="inlineStr">
        <is>
          <t>Prestiti originati % NAV</t>
        </is>
      </c>
      <c r="D18" s="59" t="n">
        <v>0.55</v>
      </c>
    </row>
    <row r="19">
      <c r="A19" s="17" t="inlineStr">
        <is>
          <t>Loan-originating AIF flag</t>
        </is>
      </c>
      <c r="D19" s="76">
        <f>IF($D$18&gt;=0.50,"YES — closed-ended required if &gt;60%","NO")</f>
        <v/>
      </c>
    </row>
    <row r="21">
      <c r="A21" s="7" t="inlineStr">
        <is>
          <t>IFRS 9 three-stage ECL</t>
        </is>
      </c>
      <c r="B21" s="8" t="inlineStr">
        <is>
          <t>IFRS 9 modello a tre stadi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17" t="inlineStr">
        <is>
          <t>ECL formula (canonical): ECL = PD × LGD × EAD × DF</t>
        </is>
      </c>
      <c r="B22" s="2" t="inlineStr">
        <is>
          <t>Formula ECL: PD × LGD × EAD × Fattore sconto</t>
        </is>
      </c>
    </row>
    <row r="23">
      <c r="A23" s="2" t="inlineStr">
        <is>
          <t xml:space="preserve">  where PD = probability of default, LGD = loss given default, EAD = exposure at default, DF = discount factor</t>
        </is>
      </c>
    </row>
    <row r="25">
      <c r="A25" s="13" t="inlineStr">
        <is>
          <t>Stage 1 (12-month ECL — no SICR)</t>
        </is>
      </c>
      <c r="B25" s="2" t="inlineStr">
        <is>
          <t>Stadio 1 (ECL 12m — no SICR)</t>
        </is>
      </c>
      <c r="D25" s="2" t="inlineStr">
        <is>
          <t>12m PD × LGD × EAD × DF</t>
        </is>
      </c>
    </row>
    <row r="26">
      <c r="A26" s="13" t="inlineStr">
        <is>
          <t>Stage 2 (Lifetime ECL — SICR triggered)</t>
        </is>
      </c>
      <c r="B26" s="2" t="inlineStr">
        <is>
          <t>Stadio 2 (ECL lifetime — SICR)</t>
        </is>
      </c>
      <c r="D26" s="2" t="inlineStr">
        <is>
          <t>Lifetime PD × LGD × EAD × DF | 30+DPD backstop</t>
        </is>
      </c>
    </row>
    <row r="27">
      <c r="A27" s="13" t="inlineStr">
        <is>
          <t>Stage 3 (Lifetime ECL — credit-impaired)</t>
        </is>
      </c>
      <c r="B27" s="2" t="inlineStr">
        <is>
          <t>Stadio 3 (ECL lifetime — impaired)</t>
        </is>
      </c>
      <c r="D27" s="2" t="inlineStr">
        <is>
          <t>PD 100% × LGD × EAD × DF | interest on NET</t>
        </is>
      </c>
    </row>
    <row r="29">
      <c r="A29" s="17" t="inlineStr">
        <is>
          <t>SICR triggers (document bank policy)</t>
        </is>
      </c>
    </row>
    <row r="30">
      <c r="A30" s="2" t="inlineStr">
        <is>
          <t xml:space="preserve">  • Absolute PD threshold breach</t>
        </is>
      </c>
    </row>
    <row r="31">
      <c r="A31" s="2" t="inlineStr">
        <is>
          <t xml:space="preserve">  • Relative PD doubling vs origination</t>
        </is>
      </c>
    </row>
    <row r="32">
      <c r="A32" s="2" t="inlineStr">
        <is>
          <t xml:space="preserve">  • Rating downgrade by ≥2 notches</t>
        </is>
      </c>
    </row>
    <row r="33">
      <c r="A33" s="2" t="inlineStr">
        <is>
          <t xml:space="preserve">  • Watchlist flag</t>
        </is>
      </c>
    </row>
    <row r="34">
      <c r="A34" s="2" t="inlineStr">
        <is>
          <t xml:space="preserve">  • Forbearance granted</t>
        </is>
      </c>
    </row>
    <row r="35">
      <c r="A35" s="2" t="inlineStr">
        <is>
          <t xml:space="preserve">  • 30+ days past due (DPD) presumption</t>
        </is>
      </c>
    </row>
    <row r="37">
      <c r="A37" s="7" t="inlineStr">
        <is>
          <t>Basel NPL calendar provisioning</t>
        </is>
      </c>
      <c r="B37" s="8" t="inlineStr">
        <is>
          <t>Calendar provisioning NPL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13" t="inlineStr">
        <is>
          <t>Regulation (EU) 2019/630 — NPL minimum coverage</t>
        </is>
      </c>
    </row>
    <row r="39">
      <c r="A39" s="13" t="inlineStr">
        <is>
          <t xml:space="preserve">  • Unsecured NPEs</t>
        </is>
      </c>
      <c r="B39" s="2" t="inlineStr">
        <is>
          <t>NPE non garantite</t>
        </is>
      </c>
      <c r="D39" s="2" t="inlineStr">
        <is>
          <t>0% / 35% / 100% (Y1-2 / Y3 / Y3+)</t>
        </is>
      </c>
    </row>
    <row r="40">
      <c r="A40" s="13" t="inlineStr">
        <is>
          <t xml:space="preserve">  • NPEs secured by real estate</t>
        </is>
      </c>
      <c r="B40" s="2" t="inlineStr">
        <is>
          <t>NPE garantite da immobili</t>
        </is>
      </c>
      <c r="D40" s="2" t="inlineStr">
        <is>
          <t>0% / 25% / 70% / 100% (Y1-4 / Y5 / Y7 / Y9+)</t>
        </is>
      </c>
    </row>
    <row r="41">
      <c r="A41" s="13" t="inlineStr">
        <is>
          <t xml:space="preserve">  • NPEs secured by other collateral</t>
        </is>
      </c>
      <c r="B41" s="2" t="inlineStr">
        <is>
          <t>NPE garantite altro</t>
        </is>
      </c>
      <c r="D41" s="2" t="inlineStr">
        <is>
          <t>0% / 35% / 70% / 100% (Y1-2 / Y3 / Y4 / Y7+)</t>
        </is>
      </c>
    </row>
    <row r="42">
      <c r="A42" t="inlineStr"/>
    </row>
    <row r="44">
      <c r="A44" s="7" t="inlineStr">
        <is>
          <t>GACS (Garanzia Cartolarizzazione Sofferenze)</t>
        </is>
      </c>
      <c r="B44" s="8" t="inlineStr">
        <is>
          <t>GACS — Garanzia stato su senior NPL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13" t="inlineStr">
        <is>
          <t xml:space="preserve">  • Senior tranche rating ≥ BBB-</t>
        </is>
      </c>
      <c r="B45" s="2" t="inlineStr">
        <is>
          <t>Rating senior ≥ investment grade</t>
        </is>
      </c>
      <c r="D45" s="2" t="inlineStr">
        <is>
          <t>BBB</t>
        </is>
      </c>
    </row>
    <row r="46">
      <c r="A46" s="13" t="inlineStr">
        <is>
          <t xml:space="preserve">  • Legge 130/1999 SPV (bankruptcy-remote)</t>
        </is>
      </c>
      <c r="B46" s="2" t="inlineStr">
        <is>
          <t>SPV legge 130/1999</t>
        </is>
      </c>
      <c r="D46" s="2" t="inlineStr">
        <is>
          <t>YES (required)</t>
        </is>
      </c>
    </row>
    <row r="47">
      <c r="A47" s="13" t="inlineStr">
        <is>
          <t xml:space="preserve">  • Guarantee fee priced on IT financial CDS</t>
        </is>
      </c>
      <c r="B47" s="2" t="inlineStr">
        <is>
          <t>Fee garanzia su CDS finanziari italiani</t>
        </is>
      </c>
      <c r="D47" s="2" t="inlineStr">
        <is>
          <t>IT Italian financial-sector CDS basket (5Y)</t>
        </is>
      </c>
    </row>
    <row r="48">
      <c r="A48" s="13" t="inlineStr">
        <is>
          <t xml:space="preserve">  • Servicer fit-and-proper (Banca d'Italia)</t>
        </is>
      </c>
      <c r="B48" s="2" t="inlineStr">
        <is>
          <t>Servicer requisiti</t>
        </is>
      </c>
      <c r="D48" s="2" t="inlineStr">
        <is>
          <t>Required</t>
        </is>
      </c>
    </row>
    <row r="50">
      <c r="A50" s="7" t="inlineStr">
        <is>
          <t>Italian tax — IRES + IRAP split</t>
        </is>
      </c>
      <c r="B50" s="8" t="inlineStr">
        <is>
          <t>Tassazione italiana — IRES + IRAP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13" t="inlineStr">
        <is>
          <t>IRES rate</t>
        </is>
      </c>
      <c r="B51" s="2" t="inlineStr">
        <is>
          <t>Aliquota IRES</t>
        </is>
      </c>
      <c r="D51" s="59" t="n">
        <v>0.24</v>
      </c>
    </row>
    <row r="52">
      <c r="A52" s="13" t="inlineStr">
        <is>
          <t>IRAP rate (national base + regional)</t>
        </is>
      </c>
      <c r="B52" s="2" t="inlineStr">
        <is>
          <t>Aliquota IRAP</t>
        </is>
      </c>
      <c r="D52" s="59" t="n">
        <v>0.039</v>
      </c>
    </row>
    <row r="53">
      <c r="A53" s="17" t="inlineStr">
        <is>
          <t>IRES+IRAP combined (approximate)</t>
        </is>
      </c>
      <c r="B53" s="2" t="inlineStr">
        <is>
          <t>IRES+IRAP combinate (stima)</t>
        </is>
      </c>
      <c r="D53" s="87">
        <f>tax_ires_rate+tax_irap_rate</f>
        <v/>
      </c>
    </row>
    <row r="56">
      <c r="A56" s="7" t="inlineStr">
        <is>
          <t>Basel III/IV securitization capital (SEC-SA / SEC-IRBA / SEC-ERBA)</t>
        </is>
      </c>
      <c r="B56" s="8" t="inlineStr">
        <is>
          <t>Capitale Basel su cartolarizzazioni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17" t="inlineStr">
        <is>
          <t>Framework hierarchy (BCBS d374 / CRR Art. 254)</t>
        </is>
      </c>
      <c r="B57" s="2" t="inlineStr">
        <is>
          <t>Gerarchia framework</t>
        </is>
      </c>
    </row>
    <row r="58">
      <c r="A58" s="13" t="inlineStr">
        <is>
          <t xml:space="preserve">  • SEC-IRBA (internal ratings-based)</t>
        </is>
      </c>
      <c r="B58" s="2" t="inlineStr">
        <is>
          <t>Banca IRB con rating interni</t>
        </is>
      </c>
      <c r="D58" s="2" t="inlineStr">
        <is>
          <t>Priority 1 — required if bank has IRB approval for underlying</t>
        </is>
      </c>
    </row>
    <row r="59">
      <c r="A59" s="13" t="inlineStr">
        <is>
          <t xml:space="preserve">  • SEC-ERBA (external ratings-based)</t>
        </is>
      </c>
      <c r="B59" s="2" t="inlineStr">
        <is>
          <t>Basato su rating esterni</t>
        </is>
      </c>
      <c r="D59" s="2" t="inlineStr">
        <is>
          <t>Priority 2 — used when ECAI rating available on tranche</t>
        </is>
      </c>
    </row>
    <row r="60">
      <c r="A60" s="13" t="inlineStr">
        <is>
          <t xml:space="preserve">  • SEC-SA (standardised approach)</t>
        </is>
      </c>
      <c r="B60" s="2" t="inlineStr">
        <is>
          <t>Approccio standard</t>
        </is>
      </c>
      <c r="D60" s="2" t="inlineStr">
        <is>
          <t>Priority 3 — fallback; Kirb-based look-through formula</t>
        </is>
      </c>
    </row>
    <row r="61">
      <c r="A61" s="13" t="inlineStr">
        <is>
          <t xml:space="preserve">  • Risk-weight floor (all approaches)</t>
        </is>
      </c>
      <c r="B61" s="2" t="inlineStr">
        <is>
          <t>Floor ponderazione</t>
        </is>
      </c>
      <c r="D61" s="2" t="inlineStr">
        <is>
          <t>15% minimum on senior; 100% on mezz; 1,250% on equity/residual</t>
        </is>
      </c>
    </row>
    <row r="62">
      <c r="A62" s="13" t="inlineStr">
        <is>
          <t xml:space="preserve">  • Output floor (Basel IV)</t>
        </is>
      </c>
      <c r="B62" s="2" t="inlineStr">
        <is>
          <t>Output floor Basel IV</t>
        </is>
      </c>
      <c r="D62" s="2" t="inlineStr">
        <is>
          <t>72.5% of SA by 2028 (phased from 50% in 2022)</t>
        </is>
      </c>
    </row>
    <row r="63">
      <c r="A63" s="13" t="inlineStr">
        <is>
          <t xml:space="preserve">  • STS qualifying (Reg. EU 2017/2402)</t>
        </is>
      </c>
      <c r="B63" s="2" t="inlineStr">
        <is>
          <t>STS conforme</t>
        </is>
      </c>
      <c r="D63" s="2" t="inlineStr">
        <is>
          <t>Simple / Transparent / Standardised — reduced RW</t>
        </is>
      </c>
    </row>
    <row r="64">
      <c r="A6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5" t="inlineStr">
        <is>
          <t>Sensitivity Analysis</t>
        </is>
      </c>
    </row>
    <row r="2">
      <c r="A2" s="2" t="inlineStr">
        <is>
          <t>Analisi di sensibilità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4">
      <c r="A4" s="69" t="inlineStr">
        <is>
          <t>LIVE — linear-elasticity approximation off primary_output. Recomputes when you change scenario_index or edit a driver/shock. Exact non-linear recompute via the `modelforge` CLI / dossier.  |  LIVE — approssimazione a elasticità lineare su primary_output. Si ricalcola quando cambi scenario_index o modifichi un driver/shock. Ricalcolo esatto non lineare tramite la CLI `modelforge` / dossier.</t>
        </is>
      </c>
    </row>
    <row r="5">
      <c r="A5" s="17" t="inlineStr">
        <is>
          <t>Primary output</t>
        </is>
      </c>
      <c r="B5" s="17" t="inlineStr">
        <is>
          <t>Blended Lender IRR</t>
        </is>
      </c>
      <c r="D5" s="87">
        <f>primary_output</f>
        <v/>
      </c>
    </row>
    <row r="6">
      <c r="A6" s="17" t="inlineStr">
        <is>
          <t>Factors analyzed</t>
        </is>
      </c>
      <c r="D6" s="92" t="n">
        <v>5</v>
      </c>
    </row>
    <row r="8">
      <c r="J8" s="64" t="inlineStr">
        <is>
          <t>Method: LIVE elasticity formula</t>
        </is>
      </c>
    </row>
    <row r="9">
      <c r="A9" s="12" t="inlineStr">
        <is>
          <t>ID</t>
        </is>
      </c>
      <c r="B9" s="12" t="inlineStr">
        <is>
          <t>Factor</t>
        </is>
      </c>
      <c r="C9" s="12" t="inlineStr">
        <is>
          <t>Driver</t>
        </is>
      </c>
      <c r="D9" s="12" t="inlineStr">
        <is>
          <t>Base</t>
        </is>
      </c>
      <c r="E9" s="12" t="inlineStr">
        <is>
          <t>Low shk</t>
        </is>
      </c>
      <c r="F9" s="12" t="inlineStr">
        <is>
          <t>High shk</t>
        </is>
      </c>
      <c r="G9" s="12" t="inlineStr">
        <is>
          <t>Elast.</t>
        </is>
      </c>
      <c r="H9" s="12" t="inlineStr">
        <is>
          <t>Low value</t>
        </is>
      </c>
      <c r="I9" s="12" t="inlineStr">
        <is>
          <t>High value</t>
        </is>
      </c>
      <c r="J9" s="12" t="inlineStr">
        <is>
          <t>Low Δ</t>
        </is>
      </c>
      <c r="K9" s="12" t="inlineStr">
        <is>
          <t>High Δ</t>
        </is>
      </c>
    </row>
    <row r="10">
      <c r="A10" s="17" t="inlineStr">
        <is>
          <t>F-001</t>
        </is>
      </c>
      <c r="B10" s="65" t="inlineStr">
        <is>
          <t>Revenue growth Y1 ±20%</t>
        </is>
      </c>
      <c r="C10" s="19" t="inlineStr">
        <is>
          <t>revenue_growth_y1</t>
        </is>
      </c>
      <c r="D10" s="93">
        <f>revenue_growth_y1</f>
        <v/>
      </c>
      <c r="E10" s="20" t="n">
        <v>-0.2</v>
      </c>
      <c r="F10" s="20" t="n">
        <v>0.2</v>
      </c>
      <c r="G10" s="30" t="n">
        <v>0.8</v>
      </c>
      <c r="H10" s="93">
        <f>D10*(1+E10)</f>
        <v/>
      </c>
      <c r="I10" s="93">
        <f>D10*(1+F10)</f>
        <v/>
      </c>
      <c r="J10" s="49">
        <f>primary_output*E10*G10</f>
        <v/>
      </c>
      <c r="K10" s="49">
        <f>primary_output*F10*G10</f>
        <v/>
      </c>
    </row>
    <row r="11">
      <c r="A11" s="17" t="inlineStr">
        <is>
          <t>F-002</t>
        </is>
      </c>
      <c r="B11" s="65" t="inlineStr">
        <is>
          <t>EBITDA margin Y1 ±25%</t>
        </is>
      </c>
      <c r="C11" s="19" t="inlineStr">
        <is>
          <t>ebitda_margin_y1</t>
        </is>
      </c>
      <c r="D11" s="93">
        <f>ebitda_margin_y1</f>
        <v/>
      </c>
      <c r="E11" s="20" t="n">
        <v>-0.25</v>
      </c>
      <c r="F11" s="20" t="n">
        <v>0.25</v>
      </c>
      <c r="G11" s="30" t="n">
        <v>0.9</v>
      </c>
      <c r="H11" s="93">
        <f>D11*(1+E11)</f>
        <v/>
      </c>
      <c r="I11" s="93">
        <f>D11*(1+F11)</f>
        <v/>
      </c>
      <c r="J11" s="49">
        <f>primary_output*E11*G11</f>
        <v/>
      </c>
      <c r="K11" s="49">
        <f>primary_output*F11*G11</f>
        <v/>
      </c>
    </row>
    <row r="12">
      <c r="A12" s="17" t="inlineStr">
        <is>
          <t>F-003</t>
        </is>
      </c>
      <c r="B12" s="65" t="inlineStr">
        <is>
          <t>Maintenance capex % rev ±20%</t>
        </is>
      </c>
      <c r="C12" s="19" t="inlineStr">
        <is>
          <t>maintenance_capex_pct_revenue</t>
        </is>
      </c>
      <c r="D12" s="93">
        <f>maintenance_capex_pct_revenue</f>
        <v/>
      </c>
      <c r="E12" s="20" t="n">
        <v>-0.2</v>
      </c>
      <c r="F12" s="20" t="n">
        <v>0.2</v>
      </c>
      <c r="G12" s="30" t="n">
        <v>-0.3</v>
      </c>
      <c r="H12" s="93">
        <f>D12*(1+E12)</f>
        <v/>
      </c>
      <c r="I12" s="93">
        <f>D12*(1+F12)</f>
        <v/>
      </c>
      <c r="J12" s="49">
        <f>primary_output*E12*G12</f>
        <v/>
      </c>
      <c r="K12" s="49">
        <f>primary_output*F12*G12</f>
        <v/>
      </c>
    </row>
    <row r="13">
      <c r="A13" s="17" t="inlineStr">
        <is>
          <t>F-004</t>
        </is>
      </c>
      <c r="B13" s="65" t="inlineStr">
        <is>
          <t>Growth capex % rev ±25%</t>
        </is>
      </c>
      <c r="C13" s="19" t="inlineStr">
        <is>
          <t>growth_capex_pct_revenue</t>
        </is>
      </c>
      <c r="D13" s="93">
        <f>growth_capex_pct_revenue</f>
        <v/>
      </c>
      <c r="E13" s="20" t="n">
        <v>-0.25</v>
      </c>
      <c r="F13" s="20" t="n">
        <v>0.25</v>
      </c>
      <c r="G13" s="30" t="n">
        <v>-0.25</v>
      </c>
      <c r="H13" s="93">
        <f>D13*(1+E13)</f>
        <v/>
      </c>
      <c r="I13" s="93">
        <f>D13*(1+F13)</f>
        <v/>
      </c>
      <c r="J13" s="49">
        <f>primary_output*E13*G13</f>
        <v/>
      </c>
      <c r="K13" s="49">
        <f>primary_output*F13*G13</f>
        <v/>
      </c>
    </row>
    <row r="14">
      <c r="A14" s="17" t="inlineStr">
        <is>
          <t>F-005</t>
        </is>
      </c>
      <c r="B14" s="65" t="inlineStr">
        <is>
          <t>Effective tax rate ±10%</t>
        </is>
      </c>
      <c r="C14" s="19" t="inlineStr">
        <is>
          <t>effective_tax_rate</t>
        </is>
      </c>
      <c r="D14" s="93">
        <f>effective_tax_rate</f>
        <v/>
      </c>
      <c r="E14" s="20" t="n">
        <v>-0.1</v>
      </c>
      <c r="F14" s="20" t="n">
        <v>0.1</v>
      </c>
      <c r="G14" s="30" t="n">
        <v>-0.3</v>
      </c>
      <c r="H14" s="93">
        <f>D14*(1+E14)</f>
        <v/>
      </c>
      <c r="I14" s="93">
        <f>D14*(1+F14)</f>
        <v/>
      </c>
      <c r="J14" s="49">
        <f>primary_output*E14*G14</f>
        <v/>
      </c>
      <c r="K14" s="49">
        <f>primary_output*F14*G14</f>
        <v/>
      </c>
    </row>
    <row r="17">
      <c r="A17" s="15" t="inlineStr">
        <is>
          <t>2D Data Table: EBITDA margin Y1 ±25% × Revenue growth Y1 ±20%  =TABLE(ebitda_margin_y1, revenue_growth_y1)  (linear elasticity: rows=+0.90, cols=+0.80)</t>
        </is>
      </c>
    </row>
    <row r="18">
      <c r="A18" s="69" t="inlineStr">
        <is>
          <t>LIVE — linear-elasticity approximation off primary_output. Recomputes when you change scenario_index or edit a driver/shock. Exact non-linear recompute via the `modelforge` CLI / dossier.  |  LIVE — approssimazione a elasticità lineare su primary_output. Si ricalcola quando cambi scenario_index o modifichi un driver/shock. Ricalcolo esatto non lineare tramite la CLI `modelforge` / dossier.</t>
        </is>
      </c>
    </row>
    <row r="19">
      <c r="A19" s="2" t="inlineStr">
        <is>
          <t>Each cell = primary_output × (1 + row_shock × row_elasticity + col_shock × col_elasticity), a live Excel formula. Shocks live via named ranges sensitivity_shock_1..5 (editable inputs); flip scenario_index or edit a shock and the body recomputes.</t>
        </is>
      </c>
    </row>
    <row r="20">
      <c r="B20" s="2" t="inlineStr">
        <is>
          <t>ebitda_margin_y1 ↓  /  revenue_growth_y1 →</t>
        </is>
      </c>
      <c r="C20" s="87" t="n">
        <v>-0.2</v>
      </c>
      <c r="D20" s="87" t="n">
        <v>-0.1</v>
      </c>
      <c r="E20" s="87" t="n">
        <v>0</v>
      </c>
      <c r="F20" s="87" t="n">
        <v>0.1</v>
      </c>
      <c r="G20" s="87" t="n">
        <v>0.2</v>
      </c>
    </row>
    <row r="21">
      <c r="B21" s="87">
        <f>sensitivity_shock_1</f>
        <v/>
      </c>
      <c r="C21" s="49">
        <f>primary_output*(1+sensitivity_shock_1*(0.9)+sensitivity_shock_1*(0.8))</f>
        <v/>
      </c>
      <c r="D21" s="49">
        <f>primary_output*(1+sensitivity_shock_1*(0.9)+sensitivity_shock_2*(0.8))</f>
        <v/>
      </c>
      <c r="E21" s="49">
        <f>primary_output*(1+sensitivity_shock_1*(0.9)+sensitivity_shock_3*(0.8))</f>
        <v/>
      </c>
      <c r="F21" s="49">
        <f>primary_output*(1+sensitivity_shock_1*(0.9)+sensitivity_shock_4*(0.8))</f>
        <v/>
      </c>
      <c r="G21" s="49">
        <f>primary_output*(1+sensitivity_shock_1*(0.9)+sensitivity_shock_5*(0.8))</f>
        <v/>
      </c>
    </row>
    <row r="22">
      <c r="B22" s="87">
        <f>sensitivity_shock_2</f>
        <v/>
      </c>
      <c r="C22" s="49">
        <f>primary_output*(1+sensitivity_shock_2*(0.9)+sensitivity_shock_1*(0.8))</f>
        <v/>
      </c>
      <c r="D22" s="49">
        <f>primary_output*(1+sensitivity_shock_2*(0.9)+sensitivity_shock_2*(0.8))</f>
        <v/>
      </c>
      <c r="E22" s="49">
        <f>primary_output*(1+sensitivity_shock_2*(0.9)+sensitivity_shock_3*(0.8))</f>
        <v/>
      </c>
      <c r="F22" s="49">
        <f>primary_output*(1+sensitivity_shock_2*(0.9)+sensitivity_shock_4*(0.8))</f>
        <v/>
      </c>
      <c r="G22" s="49">
        <f>primary_output*(1+sensitivity_shock_2*(0.9)+sensitivity_shock_5*(0.8))</f>
        <v/>
      </c>
    </row>
    <row r="23">
      <c r="B23" s="87">
        <f>sensitivity_shock_3</f>
        <v/>
      </c>
      <c r="C23" s="49">
        <f>primary_output*(1+sensitivity_shock_3*(0.9)+sensitivity_shock_1*(0.8))</f>
        <v/>
      </c>
      <c r="D23" s="49">
        <f>primary_output*(1+sensitivity_shock_3*(0.9)+sensitivity_shock_2*(0.8))</f>
        <v/>
      </c>
      <c r="E23" s="49">
        <f>primary_output*(1+sensitivity_shock_3*(0.9)+sensitivity_shock_3*(0.8))</f>
        <v/>
      </c>
      <c r="F23" s="49">
        <f>primary_output*(1+sensitivity_shock_3*(0.9)+sensitivity_shock_4*(0.8))</f>
        <v/>
      </c>
      <c r="G23" s="49">
        <f>primary_output*(1+sensitivity_shock_3*(0.9)+sensitivity_shock_5*(0.8))</f>
        <v/>
      </c>
    </row>
    <row r="24">
      <c r="B24" s="87">
        <f>sensitivity_shock_4</f>
        <v/>
      </c>
      <c r="C24" s="49">
        <f>primary_output*(1+sensitivity_shock_4*(0.9)+sensitivity_shock_1*(0.8))</f>
        <v/>
      </c>
      <c r="D24" s="49">
        <f>primary_output*(1+sensitivity_shock_4*(0.9)+sensitivity_shock_2*(0.8))</f>
        <v/>
      </c>
      <c r="E24" s="49">
        <f>primary_output*(1+sensitivity_shock_4*(0.9)+sensitivity_shock_3*(0.8))</f>
        <v/>
      </c>
      <c r="F24" s="49">
        <f>primary_output*(1+sensitivity_shock_4*(0.9)+sensitivity_shock_4*(0.8))</f>
        <v/>
      </c>
      <c r="G24" s="49">
        <f>primary_output*(1+sensitivity_shock_4*(0.9)+sensitivity_shock_5*(0.8))</f>
        <v/>
      </c>
    </row>
    <row r="25">
      <c r="B25" s="87">
        <f>sensitivity_shock_5</f>
        <v/>
      </c>
      <c r="C25" s="49">
        <f>primary_output*(1+sensitivity_shock_5*(0.9)+sensitivity_shock_1*(0.8))</f>
        <v/>
      </c>
      <c r="D25" s="49">
        <f>primary_output*(1+sensitivity_shock_5*(0.9)+sensitivity_shock_2*(0.8))</f>
        <v/>
      </c>
      <c r="E25" s="49">
        <f>primary_output*(1+sensitivity_shock_5*(0.9)+sensitivity_shock_3*(0.8))</f>
        <v/>
      </c>
      <c r="F25" s="49">
        <f>primary_output*(1+sensitivity_shock_5*(0.9)+sensitivity_shock_4*(0.8))</f>
        <v/>
      </c>
      <c r="G25" s="49">
        <f>primary_output*(1+sensitivity_shock_5*(0.9)+sensitivity_shock_5*(0.8))</f>
        <v/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5" t="inlineStr">
        <is>
          <t>Monte Carlo Simulation</t>
        </is>
      </c>
    </row>
    <row r="2">
      <c r="A2" s="2" t="inlineStr">
        <is>
          <t>Simulazione Monte Carlo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4">
      <c r="A4" s="68" t="inlineStr">
        <is>
          <t>STATIC SNAPSHOT — computed at build time (seed/scenario fixed). Does NOT recompute when you change scenario_index or drivers. To refresh: rebuild from the spec.  |  ISTANTANEA STATICA — calcolata in fase di build (seed/scenario fissi). NON si ricalcola se modifichi scenario_index o i driver. Per aggiornare: ricostruisci dalla specifica.</t>
        </is>
      </c>
    </row>
    <row r="5">
      <c r="A5" s="17" t="inlineStr">
        <is>
          <t>Base output</t>
        </is>
      </c>
      <c r="B5" s="17" t="inlineStr">
        <is>
          <t>Blended Lender IRR</t>
        </is>
      </c>
      <c r="C5" s="87">
        <f>primary_output</f>
        <v/>
      </c>
    </row>
    <row r="6">
      <c r="A6" s="2" t="inlineStr">
        <is>
          <t>1,000-run triangular simulation on Blended Lender IRR. Method: linearized per-factor elasticity. Δ mode: fractional (× base = absolute). Seed=20260417.</t>
        </is>
      </c>
    </row>
    <row r="8">
      <c r="A8" s="69" t="inlineStr">
        <is>
          <t>PARAMETRIC (LIVE — normal approx) — P5/P50/P95/mean as live Excel formulas off primary_output and the mc_vol input. RECOMPUTES when you flip scenario_index or edit mc_vol. Distinct from the sampled histogram below, which is a build-time snapshot (exact resim via `modelforge monte-carlo`).  |  PARAMETRICO (LIVE — approssimazione normale) — P5/P50/P95/media come formule Excel live su primary_output e l'input mc_vol. Si RICALCOLA quando cambi scenario_index o modifichi mc_vol. Distinto dall'istogramma campionato sotto, che è un'istantanea di build (ri-simulazione esatta con `modelforge monte-carlo`).</t>
        </is>
      </c>
    </row>
    <row r="9">
      <c r="A9" s="17" t="inlineStr">
        <is>
          <t>Volatility (σ, editable)</t>
        </is>
      </c>
      <c r="B9" s="59" t="n">
        <v>0.1184683609967547</v>
      </c>
    </row>
    <row r="10">
      <c r="A10" s="12" t="inlineStr">
        <is>
          <t>Statistic</t>
        </is>
      </c>
      <c r="B10" s="12" t="inlineStr">
        <is>
          <t>Parametric (LIVE)</t>
        </is>
      </c>
    </row>
    <row r="11">
      <c r="A11" s="17" t="inlineStr">
        <is>
          <t>Mean (LIVE)</t>
        </is>
      </c>
      <c r="B11" s="49">
        <f>primary_output</f>
        <v/>
      </c>
    </row>
    <row r="12">
      <c r="A12" s="17" t="inlineStr">
        <is>
          <t>P5 (LIVE)</t>
        </is>
      </c>
      <c r="B12" s="49">
        <f>primary_output*(1+NORM.S.INV(0.05)*mc_vol)</f>
        <v/>
      </c>
    </row>
    <row r="13">
      <c r="A13" s="17" t="inlineStr">
        <is>
          <t>P50 (LIVE)</t>
        </is>
      </c>
      <c r="B13" s="49">
        <f>primary_output*(1+NORM.S.INV(0.5)*mc_vol)</f>
        <v/>
      </c>
    </row>
    <row r="14">
      <c r="A14" s="17" t="inlineStr">
        <is>
          <t>P95 (LIVE)</t>
        </is>
      </c>
      <c r="B14" s="49">
        <f>primary_output*(1+NORM.S.INV(0.95)*mc_vol)</f>
        <v/>
      </c>
    </row>
    <row r="16">
      <c r="A16" s="70" t="inlineStr">
        <is>
          <t>SAMPLED (snapshot) — full 1,000-draw triangular distribution; frozen at build time, does NOT recompute on scenario flip (refresh: `modelforge monte-carlo`).</t>
        </is>
      </c>
    </row>
    <row r="17">
      <c r="A17" s="12" t="inlineStr">
        <is>
          <t>Statistic</t>
        </is>
      </c>
      <c r="B17" s="12" t="inlineStr">
        <is>
          <t>Δ output (frac)</t>
        </is>
      </c>
      <c r="C17" s="12" t="inlineStr">
        <is>
          <t>Absolute output</t>
        </is>
      </c>
    </row>
    <row r="18">
      <c r="A18" s="17" t="inlineStr">
        <is>
          <t>Mean</t>
        </is>
      </c>
      <c r="B18" s="71" t="n">
        <v>0.002147999733740712</v>
      </c>
      <c r="C18" s="49">
        <f>primary_output*(1+B18)</f>
        <v/>
      </c>
    </row>
    <row r="19">
      <c r="A19" s="17" t="inlineStr">
        <is>
          <t>Std</t>
        </is>
      </c>
      <c r="B19" s="71" t="n">
        <v>0.1184683609967547</v>
      </c>
      <c r="C19" s="49">
        <f>primary_output*(1+B19)</f>
        <v/>
      </c>
    </row>
    <row r="20">
      <c r="A20" s="17" t="inlineStr">
        <is>
          <t>P5</t>
        </is>
      </c>
      <c r="B20" s="71" t="n">
        <v>-0.193763877543048</v>
      </c>
      <c r="C20" s="49">
        <f>primary_output*(1+B20)</f>
        <v/>
      </c>
    </row>
    <row r="21">
      <c r="A21" s="17" t="inlineStr">
        <is>
          <t>P25</t>
        </is>
      </c>
      <c r="B21" s="71" t="n">
        <v>-0.07600435145737008</v>
      </c>
      <c r="C21" s="49">
        <f>primary_output*(1+B21)</f>
        <v/>
      </c>
    </row>
    <row r="22">
      <c r="A22" s="17" t="inlineStr">
        <is>
          <t>P50 (median)</t>
        </is>
      </c>
      <c r="B22" s="71" t="n">
        <v>0.001059438908667879</v>
      </c>
      <c r="C22" s="49">
        <f>primary_output*(1+B22)</f>
        <v/>
      </c>
    </row>
    <row r="23">
      <c r="A23" s="17" t="inlineStr">
        <is>
          <t>P75</t>
        </is>
      </c>
      <c r="B23" s="71" t="n">
        <v>0.08447803121424688</v>
      </c>
      <c r="C23" s="49">
        <f>primary_output*(1+B23)</f>
        <v/>
      </c>
    </row>
    <row r="24">
      <c r="A24" s="17" t="inlineStr">
        <is>
          <t>P95</t>
        </is>
      </c>
      <c r="B24" s="71" t="n">
        <v>0.1934842658188048</v>
      </c>
      <c r="C24" s="49">
        <f>primary_output*(1+B24)</f>
        <v/>
      </c>
    </row>
    <row r="25">
      <c r="A25" s="17" t="inlineStr">
        <is>
          <t>Min</t>
        </is>
      </c>
      <c r="B25" s="71" t="n">
        <v>-0.3532100557096119</v>
      </c>
      <c r="C25" s="49">
        <f>primary_output*(1+B25)</f>
        <v/>
      </c>
    </row>
    <row r="26">
      <c r="A26" s="17" t="inlineStr">
        <is>
          <t>Max</t>
        </is>
      </c>
      <c r="B26" s="71" t="n">
        <v>0.3539892672864839</v>
      </c>
      <c r="C26" s="49">
        <f>primary_output*(1+B26)</f>
        <v/>
      </c>
    </row>
    <row r="29">
      <c r="A29" s="17" t="inlineStr">
        <is>
          <t>Histogram bins</t>
        </is>
      </c>
    </row>
    <row r="30">
      <c r="A30" s="12" t="inlineStr">
        <is>
          <t>Bin low (Δ)</t>
        </is>
      </c>
      <c r="B30" s="12" t="inlineStr">
        <is>
          <t>Bin high (Δ)</t>
        </is>
      </c>
      <c r="C30" s="12" t="inlineStr">
        <is>
          <t>Count</t>
        </is>
      </c>
    </row>
    <row r="31">
      <c r="A31" s="71" t="n">
        <v>-0.3532100557096119</v>
      </c>
      <c r="B31" s="71" t="n">
        <v>-0.3296367449430754</v>
      </c>
      <c r="C31" s="72" t="n">
        <v>1</v>
      </c>
    </row>
    <row r="32">
      <c r="A32" s="71" t="n">
        <v>-0.3296367449430754</v>
      </c>
      <c r="B32" s="71" t="n">
        <v>-0.3060634341765389</v>
      </c>
      <c r="C32" s="72" t="n">
        <v>2</v>
      </c>
    </row>
    <row r="33">
      <c r="A33" s="71" t="n">
        <v>-0.3060634341765389</v>
      </c>
      <c r="B33" s="71" t="n">
        <v>-0.2824901234100023</v>
      </c>
      <c r="C33" s="72" t="n">
        <v>3</v>
      </c>
    </row>
    <row r="34">
      <c r="A34" s="71" t="n">
        <v>-0.2824901234100023</v>
      </c>
      <c r="B34" s="71" t="n">
        <v>-0.2589168126434658</v>
      </c>
      <c r="C34" s="72" t="n">
        <v>6</v>
      </c>
    </row>
    <row r="35">
      <c r="A35" s="71" t="n">
        <v>-0.2589168126434658</v>
      </c>
      <c r="B35" s="71" t="n">
        <v>-0.2353435018769293</v>
      </c>
      <c r="C35" s="72" t="n">
        <v>9</v>
      </c>
    </row>
    <row r="36">
      <c r="A36" s="71" t="n">
        <v>-0.2353435018769293</v>
      </c>
      <c r="B36" s="71" t="n">
        <v>-0.2117701911103927</v>
      </c>
      <c r="C36" s="72" t="n">
        <v>16</v>
      </c>
    </row>
    <row r="37">
      <c r="A37" s="71" t="n">
        <v>-0.2117701911103927</v>
      </c>
      <c r="B37" s="71" t="n">
        <v>-0.1881968803438562</v>
      </c>
      <c r="C37" s="72" t="n">
        <v>23</v>
      </c>
    </row>
    <row r="38">
      <c r="A38" s="71" t="n">
        <v>-0.1881968803438562</v>
      </c>
      <c r="B38" s="71" t="n">
        <v>-0.1646235695773197</v>
      </c>
      <c r="C38" s="72" t="n">
        <v>29</v>
      </c>
    </row>
    <row r="39">
      <c r="A39" s="71" t="n">
        <v>-0.1646235695773197</v>
      </c>
      <c r="B39" s="71" t="n">
        <v>-0.1410502588107832</v>
      </c>
      <c r="C39" s="72" t="n">
        <v>30</v>
      </c>
    </row>
    <row r="40">
      <c r="A40" s="71" t="n">
        <v>-0.1410502588107832</v>
      </c>
      <c r="B40" s="71" t="n">
        <v>-0.1174769480442466</v>
      </c>
      <c r="C40" s="72" t="n">
        <v>38</v>
      </c>
    </row>
    <row r="41">
      <c r="A41" s="71" t="n">
        <v>-0.1174769480442466</v>
      </c>
      <c r="B41" s="71" t="n">
        <v>-0.09390363727771012</v>
      </c>
      <c r="C41" s="72" t="n">
        <v>53</v>
      </c>
    </row>
    <row r="42">
      <c r="A42" s="71" t="n">
        <v>-0.09390363727771012</v>
      </c>
      <c r="B42" s="71" t="n">
        <v>-0.0703303265111736</v>
      </c>
      <c r="C42" s="72" t="n">
        <v>61</v>
      </c>
    </row>
    <row r="43">
      <c r="A43" s="71" t="n">
        <v>-0.0703303265111736</v>
      </c>
      <c r="B43" s="71" t="n">
        <v>-0.04675701574463709</v>
      </c>
      <c r="C43" s="72" t="n">
        <v>73</v>
      </c>
    </row>
    <row r="44">
      <c r="A44" s="71" t="n">
        <v>-0.04675701574463709</v>
      </c>
      <c r="B44" s="71" t="n">
        <v>-0.02318370497810052</v>
      </c>
      <c r="C44" s="72" t="n">
        <v>77</v>
      </c>
    </row>
    <row r="45">
      <c r="A45" s="71" t="n">
        <v>-0.02318370497810052</v>
      </c>
      <c r="B45" s="71" t="n">
        <v>0.0003896057884359982</v>
      </c>
      <c r="C45" s="72" t="n">
        <v>78</v>
      </c>
    </row>
    <row r="46">
      <c r="A46" s="71" t="n">
        <v>0.0003896057884359982</v>
      </c>
      <c r="B46" s="71" t="n">
        <v>0.02396291655497251</v>
      </c>
      <c r="C46" s="72" t="n">
        <v>79</v>
      </c>
    </row>
    <row r="47">
      <c r="A47" s="71" t="n">
        <v>0.02396291655497251</v>
      </c>
      <c r="B47" s="71" t="n">
        <v>0.04753622732150903</v>
      </c>
      <c r="C47" s="72" t="n">
        <v>67</v>
      </c>
    </row>
    <row r="48">
      <c r="A48" s="71" t="n">
        <v>0.04753622732150903</v>
      </c>
      <c r="B48" s="71" t="n">
        <v>0.07110953808804554</v>
      </c>
      <c r="C48" s="72" t="n">
        <v>67</v>
      </c>
    </row>
    <row r="49">
      <c r="A49" s="71" t="n">
        <v>0.07110953808804554</v>
      </c>
      <c r="B49" s="71" t="n">
        <v>0.09468284885458211</v>
      </c>
      <c r="C49" s="72" t="n">
        <v>61</v>
      </c>
    </row>
    <row r="50">
      <c r="A50" s="71" t="n">
        <v>0.09468284885458211</v>
      </c>
      <c r="B50" s="71" t="n">
        <v>0.1182561596211186</v>
      </c>
      <c r="C50" s="72" t="n">
        <v>51</v>
      </c>
    </row>
    <row r="51">
      <c r="A51" s="71" t="n">
        <v>0.1182561596211186</v>
      </c>
      <c r="B51" s="71" t="n">
        <v>0.1418294703876551</v>
      </c>
      <c r="C51" s="72" t="n">
        <v>47</v>
      </c>
    </row>
    <row r="52">
      <c r="A52" s="71" t="n">
        <v>0.1418294703876551</v>
      </c>
      <c r="B52" s="71" t="n">
        <v>0.1654027811541917</v>
      </c>
      <c r="C52" s="72" t="n">
        <v>41</v>
      </c>
    </row>
    <row r="53">
      <c r="A53" s="71" t="n">
        <v>0.1654027811541917</v>
      </c>
      <c r="B53" s="71" t="n">
        <v>0.1889760919207282</v>
      </c>
      <c r="C53" s="72" t="n">
        <v>29</v>
      </c>
    </row>
    <row r="54">
      <c r="A54" s="71" t="n">
        <v>0.1889760919207282</v>
      </c>
      <c r="B54" s="71" t="n">
        <v>0.2125494026872647</v>
      </c>
      <c r="C54" s="72" t="n">
        <v>28</v>
      </c>
    </row>
    <row r="55">
      <c r="A55" s="71" t="n">
        <v>0.2125494026872647</v>
      </c>
      <c r="B55" s="71" t="n">
        <v>0.2361227134538013</v>
      </c>
      <c r="C55" s="72" t="n">
        <v>10</v>
      </c>
    </row>
    <row r="56">
      <c r="A56" s="71" t="n">
        <v>0.2361227134538013</v>
      </c>
      <c r="B56" s="71" t="n">
        <v>0.2596960242203377</v>
      </c>
      <c r="C56" s="72" t="n">
        <v>8</v>
      </c>
    </row>
    <row r="57">
      <c r="A57" s="71" t="n">
        <v>0.2596960242203377</v>
      </c>
      <c r="B57" s="71" t="n">
        <v>0.2832693349868743</v>
      </c>
      <c r="C57" s="72" t="n">
        <v>6</v>
      </c>
    </row>
    <row r="58">
      <c r="A58" s="71" t="n">
        <v>0.2832693349868743</v>
      </c>
      <c r="B58" s="71" t="n">
        <v>0.3068426457534109</v>
      </c>
      <c r="C58" s="72" t="n">
        <v>4</v>
      </c>
    </row>
    <row r="59">
      <c r="A59" s="71" t="n">
        <v>0.3068426457534109</v>
      </c>
      <c r="B59" s="71" t="n">
        <v>0.3304159565199473</v>
      </c>
      <c r="C59" s="72" t="n">
        <v>1</v>
      </c>
    </row>
    <row r="60">
      <c r="A60" s="71" t="n">
        <v>0.3304159565199473</v>
      </c>
      <c r="B60" s="71" t="n">
        <v>0.3539892672864839</v>
      </c>
      <c r="C60" s="72" t="n">
        <v>2</v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5" t="inlineStr">
        <is>
          <t>Reproducibility</t>
        </is>
      </c>
    </row>
    <row r="2">
      <c r="A2" s="2" t="inlineStr">
        <is>
          <t>Riproducibilità</t>
        </is>
      </c>
    </row>
    <row r="3">
      <c r="A3" s="34" t="inlineStr">
        <is>
          <t>ACTIVE SCENARIO →</t>
        </is>
      </c>
      <c r="B3" s="35" t="inlineStr">
        <is>
          <t>SCENARIO ATTIVO →</t>
        </is>
      </c>
      <c r="C3" s="80">
        <f>CHOOSE(scenario_index,"WORST","BASE","BEST")</f>
        <v/>
      </c>
    </row>
    <row r="4">
      <c r="A4" s="2" t="inlineStr">
        <is>
          <t>Every workbook emitted by `modelforge build` carries this metadata. The spec SHA-256 is deterministic: two workbooks built from identical spec bytes will match. Use `modelforge verify &lt;xlsx&gt; --spec &lt;yaml&gt;` to confirm a workbook was built from a given spec.</t>
        </is>
      </c>
    </row>
    <row r="5">
      <c r="A5" s="17" t="inlineStr">
        <is>
          <t>Spec SHA-256</t>
        </is>
      </c>
      <c r="B5" s="73" t="inlineStr">
        <is>
          <t>02638f2408789f372d708531d5d25d88450a9cf8b549ef8466e4a06ac93cf300</t>
        </is>
      </c>
    </row>
    <row r="6">
      <c r="A6" s="17" t="inlineStr">
        <is>
          <t>ModelForge version</t>
        </is>
      </c>
      <c r="B6" s="5" t="inlineStr">
        <is>
          <t>0.1.0</t>
        </is>
      </c>
    </row>
    <row r="7">
      <c r="A7" s="17" t="inlineStr">
        <is>
          <t>Python version</t>
        </is>
      </c>
      <c r="B7" s="5" t="inlineStr">
        <is>
          <t>3.14.0</t>
        </is>
      </c>
    </row>
    <row r="8">
      <c r="A8" s="17" t="inlineStr">
        <is>
          <t>Build timestamp (UTC)</t>
        </is>
      </c>
      <c r="B8" s="5" t="inlineStr">
        <is>
          <t>2026-01-01T00:00:00+00:00</t>
        </is>
      </c>
    </row>
    <row r="9">
      <c r="A9" s="17" t="inlineStr">
        <is>
          <t>Spec source</t>
        </is>
      </c>
      <c r="B9" s="5" t="inlineStr">
        <is>
          <t>C:\Users\lukep\Desktop\Projects AI\ModelForge\benchmarks\specs\lbo_us_saas.yaml</t>
        </is>
      </c>
    </row>
    <row r="10">
      <c r="A10" s="17" t="inlineStr">
        <is>
          <t>Host</t>
        </is>
      </c>
      <c r="B10" s="5" t="inlineStr">
        <is>
          <t>Windows 11</t>
        </is>
      </c>
    </row>
    <row r="11">
      <c r="A11" s="17" t="inlineStr">
        <is>
          <t>Python impl</t>
        </is>
      </c>
      <c r="B11" s="5" t="inlineStr">
        <is>
          <t>CPython 3.14</t>
        </is>
      </c>
    </row>
  </sheetData>
  <conditionalFormatting sqref="C3">
    <cfRule type="cellIs" priority="1" operator="equal" dxfId="0">
      <formula>"WORST"</formula>
    </cfRule>
    <cfRule type="cellIs" priority="2" operator="equal" dxfId="1">
      <formula>"BASE"</formula>
    </cfRule>
    <cfRule type="cellIs" priority="3" operator="equal" dxfId="2">
      <formula>"BEST"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