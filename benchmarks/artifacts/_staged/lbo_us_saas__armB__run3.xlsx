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Sensitivity" sheetId="6" state="visible" r:id="rId6"/>
  </sheets>
  <definedNames>
    <definedName name="LTM_EBITDA">Assumptions!$B$13</definedName>
    <definedName name="TaxRate">Assumptions!$B$37</definedName>
    <definedName name="ExitMult">Assumptions!$B$41</definedName>
    <definedName name="HoldYears">Assumptions!$B$40</definedName>
    <definedName name="MinCash">Assumptions!$B$19</definedName>
    <definedName name="SponsorEquity">'Sources &amp; Uses'!$B$15</definedName>
    <definedName name="ExitDebt">'Debt Schedule'!$G$24</definedName>
    <definedName name="_xlnm.Print_Area" localSheetId="0">'Assumptions'!$A$1:$F$45</definedName>
    <definedName name="_xlnm.Print_Area" localSheetId="1">'Sources &amp; Uses'!$A$1:$F$25</definedName>
    <definedName name="_xlnm.Print_Area" localSheetId="2">'Operating Model'!$A$1:$I$25</definedName>
    <definedName name="_xlnm.Print_Area" localSheetId="3">'Debt Schedule'!$A$1:$H$38</definedName>
    <definedName name="_xlnm.Print_Area" localSheetId="4">'Returns'!$A$1:$H$28</definedName>
    <definedName name="_xlnm.Print_Area" localSheetId="5">'Sensitivity'!$A$1:$F$34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0.00"/>
    <numFmt numFmtId="165" formatCode="0.0%"/>
    <numFmt numFmtId="166" formatCode="#,##0.0"/>
    <numFmt numFmtId="167" formatCode="0.00&quot;x&quot;"/>
    <numFmt numFmtId="168" formatCode="0.0&quot;x&quot;"/>
    <numFmt numFmtId="169" formatCode="0.0000"/>
    <numFmt numFmtId="170" formatCode="#,##0.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color rgb="000563C1"/>
      <sz val="9"/>
      <u val="single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404040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4" fontId="5" fillId="0" borderId="0" pivotButton="0" quotePrefix="0" xfId="0"/>
    <xf numFmtId="166" fontId="6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0" fontId="6" fillId="0" borderId="0" pivotButton="0" quotePrefix="0" xfId="0"/>
    <xf numFmtId="168" fontId="6" fillId="0" borderId="0" pivotButton="0" quotePrefix="0" xfId="0"/>
    <xf numFmtId="10" fontId="5" fillId="0" borderId="0" pivotButton="0" quotePrefix="0" xfId="0"/>
    <xf numFmtId="1" fontId="6" fillId="0" borderId="0" pivotButton="0" quotePrefix="0" xfId="0"/>
    <xf numFmtId="0" fontId="7" fillId="3" borderId="0" applyAlignment="1" pivotButton="0" quotePrefix="0" xfId="0">
      <alignment horizontal="center"/>
    </xf>
    <xf numFmtId="166" fontId="8" fillId="0" borderId="0" pivotButton="0" quotePrefix="0" xfId="0"/>
    <xf numFmtId="165" fontId="5" fillId="0" borderId="0" pivotButton="0" quotePrefix="0" xfId="0"/>
    <xf numFmtId="166" fontId="4" fillId="0" borderId="1" pivotButton="0" quotePrefix="0" xfId="0"/>
    <xf numFmtId="165" fontId="4" fillId="0" borderId="1" pivotButton="0" quotePrefix="0" xfId="0"/>
    <xf numFmtId="167" fontId="8" fillId="0" borderId="0" pivotButton="0" quotePrefix="0" xfId="0"/>
    <xf numFmtId="10" fontId="8" fillId="0" borderId="0" pivotButton="0" quotePrefix="0" xfId="0"/>
    <xf numFmtId="167" fontId="9" fillId="0" borderId="1" pivotButton="0" quotePrefix="0" xfId="0"/>
    <xf numFmtId="0" fontId="4" fillId="4" borderId="0" pivotButton="0" quotePrefix="0" xfId="0"/>
    <xf numFmtId="4" fontId="4" fillId="4" borderId="0" pivotButton="0" quotePrefix="0" xfId="0"/>
    <xf numFmtId="0" fontId="4" fillId="4" borderId="0" applyAlignment="1" pivotButton="0" quotePrefix="0" xfId="0">
      <alignment horizontal="center"/>
    </xf>
    <xf numFmtId="166" fontId="5" fillId="0" borderId="0" pivotButton="0" quotePrefix="0" xfId="0"/>
    <xf numFmtId="0" fontId="7" fillId="3" borderId="0" pivotButton="0" quotePrefix="0" xfId="0"/>
    <xf numFmtId="166" fontId="10" fillId="0" borderId="0" pivotButton="0" quotePrefix="0" xfId="0"/>
    <xf numFmtId="166" fontId="9" fillId="0" borderId="0" pivotButton="0" quotePrefix="0" xfId="0"/>
    <xf numFmtId="168" fontId="8" fillId="0" borderId="0" pivotButton="0" quotePrefix="0" xfId="0"/>
    <xf numFmtId="10" fontId="4" fillId="0" borderId="0" pivotButton="0" quotePrefix="0" xfId="0"/>
    <xf numFmtId="1" fontId="8" fillId="0" borderId="0" pivotButton="0" quotePrefix="0" xfId="0"/>
    <xf numFmtId="169" fontId="4" fillId="4" borderId="0" pivotButton="0" quotePrefix="0" xfId="0"/>
    <xf numFmtId="169" fontId="4" fillId="0" borderId="0" pivotButton="0" quotePrefix="0" xfId="0"/>
    <xf numFmtId="170" fontId="4" fillId="0" borderId="0" pivotButton="0" quotePrefix="0" xfId="0"/>
    <xf numFmtId="170" fontId="9" fillId="0" borderId="0" pivotButton="0" quotePrefix="0" xfId="0"/>
    <xf numFmtId="165" fontId="10" fillId="0" borderId="0" applyAlignment="1" pivotButton="0" quotePrefix="0" xfId="0">
      <alignment horizontal="center"/>
    </xf>
    <xf numFmtId="168" fontId="10" fillId="0" borderId="0" pivotButton="0" quotePrefix="0" xfId="0"/>
    <xf numFmtId="165" fontId="5" fillId="5" borderId="0" pivotButton="0" quotePrefix="0" xfId="0"/>
    <xf numFmtId="169" fontId="9" fillId="4" borderId="0" pivotButton="0" quotePrefix="0" xfId="0"/>
    <xf numFmtId="165" fontId="4" fillId="0" borderId="0" applyAlignment="1" pivotButton="0" quotePrefix="0" xfId="0">
      <alignment horizontal="center"/>
    </xf>
    <xf numFmtId="168" fontId="4" fillId="0" borderId="0" pivotButton="0" quotePrefix="0" xfId="0"/>
    <xf numFmtId="167" fontId="5" fillId="0" borderId="0" pivotButton="0" quotePrefix="0" xfId="0"/>
    <xf numFmtId="167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Assumptions &amp; Drivers</t>
        </is>
      </c>
    </row>
    <row r="2">
      <c r="A2" s="2" t="inlineStr">
        <is>
          <t>Navigate:</t>
        </is>
      </c>
      <c r="B2" s="3" t="inlineStr">
        <is>
          <t>Sources &amp; Uses</t>
        </is>
      </c>
      <c r="C2" s="3" t="inlineStr">
        <is>
          <t>Operating Model</t>
        </is>
      </c>
      <c r="D2" s="3" t="inlineStr">
        <is>
          <t>Debt Schedule</t>
        </is>
      </c>
      <c r="E2" s="3" t="inlineStr">
        <is>
          <t>Returns</t>
        </is>
      </c>
      <c r="F2" s="3" t="inlineStr">
        <is>
          <t>Sensitivity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4" t="inlineStr">
        <is>
          <t>ENTRY &amp; PURCHASE PRICE</t>
        </is>
      </c>
      <c r="B4" s="5" t="n"/>
      <c r="C4" s="5" t="n"/>
    </row>
    <row r="5">
      <c r="A5" s="6" t="inlineStr">
        <is>
          <t>Current share price ($/share)</t>
        </is>
      </c>
      <c r="B5" s="7" t="n">
        <v>4.4</v>
      </c>
    </row>
    <row r="6">
      <c r="A6" s="6" t="inlineStr">
        <is>
          <t>Offer premium (%)</t>
        </is>
      </c>
      <c r="B6" s="8" t="n">
        <v>0.25</v>
      </c>
    </row>
    <row r="7">
      <c r="A7" s="6" t="inlineStr">
        <is>
          <t>Offer price per share ($/share)</t>
        </is>
      </c>
      <c r="B7" s="9">
        <f>B5*(1+B6)</f>
        <v>5.5</v>
      </c>
      <c r="C7" s="2" t="inlineStr">
        <is>
          <t>offer = $4.40 x (1 + 25%)</t>
        </is>
      </c>
    </row>
    <row r="8">
      <c r="A8" s="6" t="inlineStr">
        <is>
          <t>Fully diluted shares (m)</t>
        </is>
      </c>
      <c r="B8" s="10" t="n">
        <v>60</v>
      </c>
    </row>
    <row r="9">
      <c r="A9" s="6" t="inlineStr">
        <is>
          <t>Option / RSU buyout ($m)</t>
        </is>
      </c>
      <c r="B9" s="10" t="n">
        <v>0</v>
      </c>
    </row>
    <row r="10">
      <c r="A10" s="11" t="inlineStr">
        <is>
          <t>Equity purchase price ($m)</t>
        </is>
      </c>
      <c r="B10" s="12">
        <f>B7*B8+B9</f>
        <v>330.0</v>
      </c>
    </row>
    <row r="11">
      <c r="A11" s="6" t="inlineStr">
        <is>
          <t>Target net debt at close, refinanced ($m)</t>
        </is>
      </c>
      <c r="B11" s="10" t="n">
        <v>20</v>
      </c>
    </row>
    <row r="12">
      <c r="A12" s="11" t="inlineStr">
        <is>
          <t>Entry enterprise value ($m)</t>
        </is>
      </c>
      <c r="B12" s="12">
        <f>B10+B11</f>
        <v>350.0</v>
      </c>
    </row>
    <row r="13">
      <c r="A13" s="6" t="inlineStr">
        <is>
          <t>Entry LTM EBITDA ($m)  (= FY0)</t>
        </is>
      </c>
      <c r="B13" s="10" t="n">
        <v>35</v>
      </c>
    </row>
    <row r="14">
      <c r="A14" s="11" t="inlineStr">
        <is>
          <t>Implied entry EV / EBITDA (x)</t>
        </is>
      </c>
      <c r="B14" s="13">
        <f>B12/B13</f>
        <v>10.0</v>
      </c>
    </row>
    <row r="16">
      <c r="A16" s="4" t="inlineStr">
        <is>
          <t>TRANSACTION FEES &amp; MINIMUM CASH</t>
        </is>
      </c>
      <c r="B16" s="5" t="n"/>
      <c r="C16" s="5" t="n"/>
    </row>
    <row r="17">
      <c r="A17" s="6" t="inlineStr">
        <is>
          <t>M&amp;A advisory fees ($m)</t>
        </is>
      </c>
      <c r="B17" s="10" t="n">
        <v>7</v>
      </c>
    </row>
    <row r="18">
      <c r="A18" s="6" t="inlineStr">
        <is>
          <t>Financing fees ($m)</t>
        </is>
      </c>
      <c r="B18" s="10" t="n">
        <v>5</v>
      </c>
    </row>
    <row r="19">
      <c r="A19" s="6" t="inlineStr">
        <is>
          <t>Minimum cash funded to balance sheet ($m)</t>
        </is>
      </c>
      <c r="B19" s="10" t="n">
        <v>5</v>
      </c>
    </row>
    <row r="21">
      <c r="A21" s="4" t="inlineStr">
        <is>
          <t>DEBT FINANCING (both tranches bullet, no OID, no floor)</t>
        </is>
      </c>
      <c r="B21" s="5" t="n"/>
      <c r="C21" s="5" t="n"/>
    </row>
    <row r="22">
      <c r="A22" s="6" t="inlineStr">
        <is>
          <t>SOFR base rate</t>
        </is>
      </c>
      <c r="B22" s="14" t="n">
        <v>0.04</v>
      </c>
    </row>
    <row r="23">
      <c r="A23" s="6" t="inlineStr">
        <is>
          <t>Senior Term Loan leverage (x LTM EBITDA)</t>
        </is>
      </c>
      <c r="B23" s="15" t="n">
        <v>4.5</v>
      </c>
    </row>
    <row r="24">
      <c r="A24" s="6" t="inlineStr">
        <is>
          <t>Senior Term Loan spread</t>
        </is>
      </c>
      <c r="B24" s="14" t="n">
        <v>0.035</v>
      </c>
    </row>
    <row r="25">
      <c r="A25" s="6" t="inlineStr">
        <is>
          <t>Senior Term Loan all-in rate</t>
        </is>
      </c>
      <c r="B25" s="16">
        <f>B22+B24</f>
        <v>0.07500000000000001</v>
      </c>
    </row>
    <row r="26">
      <c r="A26" s="6" t="inlineStr">
        <is>
          <t>Senior Term Loan tenor (years, bullet)</t>
        </is>
      </c>
      <c r="B26" s="17" t="n">
        <v>7</v>
      </c>
    </row>
    <row r="27">
      <c r="A27" s="6" t="inlineStr">
        <is>
          <t>Mezzanine Notes leverage (x LTM EBITDA)</t>
        </is>
      </c>
      <c r="B27" s="15" t="n">
        <v>1</v>
      </c>
    </row>
    <row r="28">
      <c r="A28" s="6" t="inlineStr">
        <is>
          <t>Mezzanine Notes spread</t>
        </is>
      </c>
      <c r="B28" s="14" t="n">
        <v>0.07000000000000001</v>
      </c>
    </row>
    <row r="29">
      <c r="A29" s="6" t="inlineStr">
        <is>
          <t>Mezzanine Notes all-in rate</t>
        </is>
      </c>
      <c r="B29" s="16">
        <f>B22+B28</f>
        <v>0.11000000000000001</v>
      </c>
    </row>
    <row r="30">
      <c r="A30" s="6" t="inlineStr">
        <is>
          <t>Mezzanine Notes tenor (years, bullet)</t>
        </is>
      </c>
      <c r="B30" s="17" t="n">
        <v>8</v>
      </c>
    </row>
    <row r="32">
      <c r="A32" s="4" t="inlineStr">
        <is>
          <t>OPERATING ASSUMPTIONS</t>
        </is>
      </c>
      <c r="B32" s="5" t="n"/>
      <c r="C32" s="5" t="n"/>
    </row>
    <row r="33">
      <c r="A33" s="6" t="inlineStr">
        <is>
          <t>D&amp;A (% of revenue)</t>
        </is>
      </c>
      <c r="B33" s="8" t="n">
        <v>0.04</v>
      </c>
    </row>
    <row r="34">
      <c r="A34" s="6" t="inlineStr">
        <is>
          <t>Maintenance capex (% of revenue)</t>
        </is>
      </c>
      <c r="B34" s="8" t="n">
        <v>0.03</v>
      </c>
    </row>
    <row r="35">
      <c r="A35" s="6" t="inlineStr">
        <is>
          <t>Growth capex (% of revenue)</t>
        </is>
      </c>
      <c r="B35" s="8" t="n">
        <v>0.01</v>
      </c>
    </row>
    <row r="36">
      <c r="A36" s="6" t="inlineStr">
        <is>
          <t>Increase in NWC (% of change in revenue)</t>
        </is>
      </c>
      <c r="B36" s="8" t="n">
        <v>0.05</v>
      </c>
    </row>
    <row r="37">
      <c r="A37" s="6" t="inlineStr">
        <is>
          <t>Cash tax rate (on EBT)</t>
        </is>
      </c>
      <c r="B37" s="8" t="n">
        <v>0.25</v>
      </c>
    </row>
    <row r="39">
      <c r="A39" s="4" t="inlineStr">
        <is>
          <t>EXIT ASSUMPTIONS</t>
        </is>
      </c>
      <c r="B39" s="5" t="n"/>
      <c r="C39" s="5" t="n"/>
    </row>
    <row r="40">
      <c r="A40" s="6" t="inlineStr">
        <is>
          <t>Hold period / exit year</t>
        </is>
      </c>
      <c r="B40" s="17" t="n">
        <v>5</v>
      </c>
    </row>
    <row r="41">
      <c r="A41" s="6" t="inlineStr">
        <is>
          <t>Exit EV / EBITDA multiple (strategic sale)</t>
        </is>
      </c>
      <c r="B41" s="15" t="n">
        <v>9</v>
      </c>
    </row>
    <row r="42">
      <c r="A42" s="6" t="inlineStr">
        <is>
          <t>Exit EBITDA basis</t>
        </is>
      </c>
      <c r="B42" s="2" t="inlineStr">
        <is>
          <t>Projected Year-5 EBITDA (NOT entry LTM)</t>
        </is>
      </c>
    </row>
    <row r="43">
      <c r="A43" s="6" t="inlineStr">
        <is>
          <t>Conventions</t>
        </is>
      </c>
      <c r="B43" s="2" t="inlineStr">
        <is>
          <t>No cash sweep / revolver / recap / PIK. Bullet debt -&gt; exit debt = face. Accumulated cash EXCLUDED from exit equity bridge (conservative).</t>
        </is>
      </c>
    </row>
  </sheetData>
  <hyperlinks>
    <hyperlink ref="B2" location="'Sources &amp; Uses'!A1" display="Sources &amp; Uses"/>
    <hyperlink ref="C2" location="'Operating Model'!A1" display="Operating Model"/>
    <hyperlink ref="D2" location="'Debt Schedule'!A1" display="Debt Schedule"/>
    <hyperlink ref="E2" location="'Returns'!A1" display="Returns"/>
    <hyperlink ref="F2" location="'Sensitivity'!A1" display="Sensitivity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Sources &amp; Uses at Close</t>
        </is>
      </c>
    </row>
    <row r="2">
      <c r="A2" s="2" t="inlineStr">
        <is>
          <t>Navigate:</t>
        </is>
      </c>
      <c r="B2" s="3" t="inlineStr">
        <is>
          <t>Assumptions</t>
        </is>
      </c>
      <c r="C2" s="3" t="inlineStr">
        <is>
          <t>Operating Model</t>
        </is>
      </c>
      <c r="D2" s="3" t="inlineStr">
        <is>
          <t>Debt Schedule</t>
        </is>
      </c>
      <c r="E2" s="3" t="inlineStr">
        <is>
          <t>Returns</t>
        </is>
      </c>
      <c r="F2" s="3" t="inlineStr">
        <is>
          <t>Sensitivity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4" t="inlineStr">
        <is>
          <t>USES ($m)</t>
        </is>
      </c>
      <c r="B4" s="18" t="inlineStr">
        <is>
          <t>$m</t>
        </is>
      </c>
      <c r="C4" s="18" t="inlineStr">
        <is>
          <t>% of total</t>
        </is>
      </c>
    </row>
    <row r="5">
      <c r="A5" s="6" t="inlineStr">
        <is>
          <t>Equity purchase price</t>
        </is>
      </c>
      <c r="B5" s="19">
        <f>Assumptions!B10</f>
        <v>330.0</v>
      </c>
      <c r="C5" s="20">
        <f>B5/$B$10</f>
        <v>0.8991825613079019</v>
      </c>
    </row>
    <row r="6">
      <c r="A6" s="6" t="inlineStr">
        <is>
          <t>Refinance target net debt</t>
        </is>
      </c>
      <c r="B6" s="19">
        <f>Assumptions!B11</f>
        <v>20.0</v>
      </c>
      <c r="C6" s="20">
        <f>B6/$B$10</f>
        <v>0.05449591280653951</v>
      </c>
    </row>
    <row r="7">
      <c r="A7" s="6" t="inlineStr">
        <is>
          <t>M&amp;A advisory fees</t>
        </is>
      </c>
      <c r="B7" s="19">
        <f>Assumptions!B17</f>
        <v>7.0</v>
      </c>
      <c r="C7" s="20">
        <f>B7/$B$10</f>
        <v>0.01907356948228883</v>
      </c>
    </row>
    <row r="8">
      <c r="A8" s="6" t="inlineStr">
        <is>
          <t>Financing fees</t>
        </is>
      </c>
      <c r="B8" s="19">
        <f>Assumptions!B18</f>
        <v>5.0</v>
      </c>
      <c r="C8" s="20">
        <f>B8/$B$10</f>
        <v>0.013623978201634877</v>
      </c>
    </row>
    <row r="9">
      <c r="A9" s="6" t="inlineStr">
        <is>
          <t>Minimum cash funded to balance sheet</t>
        </is>
      </c>
      <c r="B9" s="19">
        <f>Assumptions!B19</f>
        <v>5.0</v>
      </c>
      <c r="C9" s="20">
        <f>B9/$B$10</f>
        <v>0.013623978201634877</v>
      </c>
    </row>
    <row r="10">
      <c r="A10" s="11" t="inlineStr">
        <is>
          <t>TOTAL USES</t>
        </is>
      </c>
      <c r="B10" s="21">
        <f>SUM(B5:B9)</f>
        <v>367.0</v>
      </c>
      <c r="C10" s="22">
        <f>B10/$B$10</f>
        <v>1.0</v>
      </c>
    </row>
    <row r="12">
      <c r="A12" s="4" t="inlineStr">
        <is>
          <t>SOURCES ($m)</t>
        </is>
      </c>
      <c r="B12" s="18" t="inlineStr">
        <is>
          <t>$m</t>
        </is>
      </c>
      <c r="C12" s="18" t="inlineStr">
        <is>
          <t>% of total</t>
        </is>
      </c>
      <c r="D12" s="18" t="inlineStr">
        <is>
          <t>x LTM EBITDA</t>
        </is>
      </c>
      <c r="E12" s="18" t="inlineStr">
        <is>
          <t>All-in rate</t>
        </is>
      </c>
    </row>
    <row r="13">
      <c r="A13" s="6" t="inlineStr">
        <is>
          <t>Senior Term Loan (SOFR + 350, bullet, 7-yr)</t>
        </is>
      </c>
      <c r="B13" s="19">
        <f>Assumptions!B23*Assumptions!B13</f>
        <v>157.5</v>
      </c>
      <c r="C13" s="20">
        <f>B13/$B$16</f>
        <v>0.42915531335149865</v>
      </c>
      <c r="D13" s="23">
        <f>B13/Assumptions!$B$13</f>
        <v>4.5</v>
      </c>
      <c r="E13" s="24">
        <f>Assumptions!B25</f>
        <v>0.07500000000000001</v>
      </c>
    </row>
    <row r="14">
      <c r="A14" s="6" t="inlineStr">
        <is>
          <t>Mezzanine Notes (SOFR + 700, bullet, 8-yr)</t>
        </is>
      </c>
      <c r="B14" s="19">
        <f>Assumptions!B27*Assumptions!B13</f>
        <v>35.0</v>
      </c>
      <c r="C14" s="20">
        <f>B14/$B$16</f>
        <v>0.09536784741144415</v>
      </c>
      <c r="D14" s="23">
        <f>B14/Assumptions!$B$13</f>
        <v>1.0</v>
      </c>
      <c r="E14" s="24">
        <f>Assumptions!B29</f>
        <v>0.11000000000000001</v>
      </c>
    </row>
    <row r="15">
      <c r="A15" s="11" t="inlineStr">
        <is>
          <t>Sponsor equity (balancing plug, new money)</t>
        </is>
      </c>
      <c r="B15" s="12">
        <f>B10-B13-B14</f>
        <v>174.5</v>
      </c>
      <c r="C15" s="20">
        <f>B15/$B$16</f>
        <v>0.47547683923705725</v>
      </c>
      <c r="D15" s="23">
        <f>B15/Assumptions!$B$13</f>
        <v>4.985714285714286</v>
      </c>
    </row>
    <row r="16">
      <c r="A16" s="11" t="inlineStr">
        <is>
          <t>TOTAL SOURCES</t>
        </is>
      </c>
      <c r="B16" s="21">
        <f>SUM(B13:B15)</f>
        <v>367.0</v>
      </c>
      <c r="C16" s="22">
        <f>B16/$B$16</f>
        <v>1.0</v>
      </c>
      <c r="D16" s="25">
        <f>B16/Assumptions!$B$13</f>
        <v>10.485714285714286</v>
      </c>
    </row>
    <row r="18">
      <c r="A18" s="26" t="inlineStr">
        <is>
          <t>CHECK: Sources - Uses = 0</t>
        </is>
      </c>
      <c r="B18" s="27">
        <f>B16-B10</f>
        <v>0.0</v>
      </c>
      <c r="C18" s="28" t="str">
        <f>IF(ABS(B18)&lt;0.000001,"OK","ERROR")</f>
        <v>OK</v>
      </c>
    </row>
    <row r="20">
      <c r="A20" s="6" t="inlineStr">
        <is>
          <t>Memo: total funded debt at close ($m)</t>
        </is>
      </c>
      <c r="B20" s="29">
        <f>B13+B14</f>
        <v>192.5</v>
      </c>
    </row>
    <row r="21">
      <c r="A21" s="6" t="inlineStr">
        <is>
          <t>Memo: entry leverage (total debt / LTM EBITDA)</t>
        </is>
      </c>
      <c r="B21" s="23">
        <f>B20/Assumptions!B13</f>
        <v>5.5</v>
      </c>
    </row>
  </sheetData>
  <hyperlinks>
    <hyperlink ref="B2" location="'Assumptions'!A1" display="Assumptions"/>
    <hyperlink ref="C2" location="'Operating Model'!A1" display="Operating Model"/>
    <hyperlink ref="D2" location="'Debt Schedule'!A1" display="Debt Schedule"/>
    <hyperlink ref="E2" location="'Returns'!A1" display="Returns"/>
    <hyperlink ref="F2" location="'Sensitivity'!A1" display="Sensitivity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Operating Model &amp; Free Cash Flow</t>
        </is>
      </c>
    </row>
    <row r="2">
      <c r="A2" s="2" t="inlineStr">
        <is>
          <t>Navigate:</t>
        </is>
      </c>
      <c r="B2" s="3" t="inlineStr">
        <is>
          <t>Assumptions</t>
        </is>
      </c>
      <c r="C2" s="3" t="inlineStr">
        <is>
          <t>Sources &amp; Uses</t>
        </is>
      </c>
      <c r="D2" s="3" t="inlineStr">
        <is>
          <t>Debt Schedule</t>
        </is>
      </c>
      <c r="E2" s="3" t="inlineStr">
        <is>
          <t>Returns</t>
        </is>
      </c>
      <c r="F2" s="3" t="inlineStr">
        <is>
          <t>Sensitivity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30" t="inlineStr">
        <is>
          <t>P&amp;L AND DRIVERS ($m)</t>
        </is>
      </c>
      <c r="B4" s="18" t="inlineStr">
        <is>
          <t>FY-2A</t>
        </is>
      </c>
      <c r="C4" s="18" t="inlineStr">
        <is>
          <t>FY-1A</t>
        </is>
      </c>
      <c r="D4" s="18" t="inlineStr">
        <is>
          <t>FY0A</t>
        </is>
      </c>
      <c r="E4" s="18" t="inlineStr">
        <is>
          <t>Year 1</t>
        </is>
      </c>
      <c r="F4" s="18" t="inlineStr">
        <is>
          <t>Year 2</t>
        </is>
      </c>
      <c r="G4" s="18" t="inlineStr">
        <is>
          <t>Year 3</t>
        </is>
      </c>
      <c r="H4" s="18" t="inlineStr">
        <is>
          <t>Year 4</t>
        </is>
      </c>
      <c r="I4" s="18" t="inlineStr">
        <is>
          <t>Year 5</t>
        </is>
      </c>
    </row>
    <row r="5">
      <c r="A5" s="6" t="inlineStr">
        <is>
          <t>Revenue growth (%)</t>
        </is>
      </c>
      <c r="C5" s="20">
        <f>C6/B6-1</f>
        <v>0.11111111111111116</v>
      </c>
      <c r="D5" s="20">
        <f>D6/C6-1</f>
        <v>0.11111111111111116</v>
      </c>
      <c r="E5" s="8" t="n">
        <v>0.12</v>
      </c>
      <c r="F5" s="8" t="n">
        <v>0.11</v>
      </c>
      <c r="G5" s="8" t="n">
        <v>0.1</v>
      </c>
      <c r="H5" s="8" t="n">
        <v>0.09</v>
      </c>
      <c r="I5" s="8" t="n">
        <v>0.08</v>
      </c>
    </row>
    <row r="6">
      <c r="A6" s="11" t="inlineStr">
        <is>
          <t>Revenue</t>
        </is>
      </c>
      <c r="B6" s="31" t="n">
        <v>81</v>
      </c>
      <c r="C6" s="31" t="n">
        <v>90</v>
      </c>
      <c r="D6" s="31" t="n">
        <v>100</v>
      </c>
      <c r="E6" s="12">
        <f>D6*(1+E5)</f>
        <v>112.00000000000001</v>
      </c>
      <c r="F6" s="12">
        <f>E6*(1+F5)</f>
        <v>124.32000000000002</v>
      </c>
      <c r="G6" s="12">
        <f>F6*(1+G5)</f>
        <v>136.75200000000004</v>
      </c>
      <c r="H6" s="12">
        <f>G6*(1+H5)</f>
        <v>149.05968000000004</v>
      </c>
      <c r="I6" s="12">
        <f>H6*(1+I5)</f>
        <v>160.98445440000006</v>
      </c>
    </row>
    <row r="7">
      <c r="A7" s="6" t="inlineStr">
        <is>
          <t>EBITDA margin (%)</t>
        </is>
      </c>
      <c r="B7" s="20">
        <f>B8/B6</f>
        <v>0.3296296296296296</v>
      </c>
      <c r="C7" s="20">
        <f>C8/C6</f>
        <v>0.34</v>
      </c>
      <c r="D7" s="20">
        <f>D8/D6</f>
        <v>0.35</v>
      </c>
      <c r="E7" s="8" t="n">
        <v>0.35</v>
      </c>
      <c r="F7" s="8" t="n">
        <v>0.36</v>
      </c>
      <c r="G7" s="8" t="n">
        <v>0.36</v>
      </c>
      <c r="H7" s="8" t="n">
        <v>0.37</v>
      </c>
      <c r="I7" s="8" t="n">
        <v>0.38</v>
      </c>
    </row>
    <row r="8">
      <c r="A8" s="11" t="inlineStr">
        <is>
          <t>EBITDA</t>
        </is>
      </c>
      <c r="B8" s="31" t="n">
        <v>26.7</v>
      </c>
      <c r="C8" s="31" t="n">
        <v>30.6</v>
      </c>
      <c r="D8" s="31" t="n">
        <v>35</v>
      </c>
      <c r="E8" s="12">
        <f>E6*E7</f>
        <v>39.2</v>
      </c>
      <c r="F8" s="12">
        <f>F6*F7</f>
        <v>44.75520000000001</v>
      </c>
      <c r="G8" s="12">
        <f>G6*G7</f>
        <v>49.23072000000001</v>
      </c>
      <c r="H8" s="12">
        <f>H6*H7</f>
        <v>55.15208160000002</v>
      </c>
      <c r="I8" s="12">
        <f>I6*I7</f>
        <v>61.17409267200002</v>
      </c>
    </row>
    <row r="9">
      <c r="A9" s="6" t="inlineStr">
        <is>
          <t>D&amp;A (4.0% of revenue)</t>
        </is>
      </c>
      <c r="E9" s="19">
        <f>E6*Assumptions!$B$33</f>
        <v>4.48</v>
      </c>
      <c r="F9" s="19">
        <f>F6*Assumptions!$B$33</f>
        <v>4.972800000000001</v>
      </c>
      <c r="G9" s="19">
        <f>G6*Assumptions!$B$33</f>
        <v>5.470080000000002</v>
      </c>
      <c r="H9" s="19">
        <f>H6*Assumptions!$B$33</f>
        <v>5.962387200000002</v>
      </c>
      <c r="I9" s="19">
        <f>I6*Assumptions!$B$33</f>
        <v>6.439378176000003</v>
      </c>
    </row>
    <row r="10">
      <c r="A10" s="6" t="inlineStr">
        <is>
          <t>EBIT</t>
        </is>
      </c>
      <c r="E10" s="29">
        <f>E8-E9</f>
        <v>34.72</v>
      </c>
      <c r="F10" s="29">
        <f>F8-F9</f>
        <v>39.78240000000001</v>
      </c>
      <c r="G10" s="29">
        <f>G8-G9</f>
        <v>43.76064000000001</v>
      </c>
      <c r="H10" s="29">
        <f>H8-H9</f>
        <v>49.189694400000015</v>
      </c>
      <c r="I10" s="29">
        <f>I8-I9</f>
        <v>54.73471449600002</v>
      </c>
    </row>
    <row r="12">
      <c r="A12" s="4" t="inlineStr">
        <is>
          <t>FREE CASH FLOW BUILD (hold period; no sweep — cash accumulates on balance sheet)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inlineStr">
        <is>
          <t>EBITDA</t>
        </is>
      </c>
      <c r="E13" s="29">
        <f>E8</f>
        <v>39.2</v>
      </c>
      <c r="F13" s="29">
        <f>F8</f>
        <v>44.75520000000001</v>
      </c>
      <c r="G13" s="29">
        <f>G8</f>
        <v>49.23072000000001</v>
      </c>
      <c r="H13" s="29">
        <f>H8</f>
        <v>55.15208160000002</v>
      </c>
      <c r="I13" s="29">
        <f>I8</f>
        <v>61.17409267200002</v>
      </c>
    </row>
    <row r="14">
      <c r="A14" s="6" t="inlineStr">
        <is>
          <t>Less: cash interest (on opening debt balances)</t>
        </is>
      </c>
      <c r="E14" s="19">
        <f>-'Debt Schedule'!C25</f>
        <v>-15.662500000000001</v>
      </c>
      <c r="F14" s="19">
        <f>-'Debt Schedule'!D25</f>
        <v>-15.662500000000001</v>
      </c>
      <c r="G14" s="19">
        <f>-'Debt Schedule'!E25</f>
        <v>-15.662500000000001</v>
      </c>
      <c r="H14" s="19">
        <f>-'Debt Schedule'!F25</f>
        <v>-15.662500000000001</v>
      </c>
      <c r="I14" s="19">
        <f>-'Debt Schedule'!G25</f>
        <v>-15.662500000000001</v>
      </c>
    </row>
    <row r="15">
      <c r="A15" s="6" t="inlineStr">
        <is>
          <t>Less: cash taxes (25% of EBT, floored at 0)</t>
        </is>
      </c>
      <c r="E15" s="19">
        <f>-MAX(0,E10+E14)*Assumptions!$B$37</f>
        <v>-4.764374999999999</v>
      </c>
      <c r="F15" s="19">
        <f>-MAX(0,F10+F14)*Assumptions!$B$37</f>
        <v>-6.029975000000002</v>
      </c>
      <c r="G15" s="19">
        <f>-MAX(0,G10+G14)*Assumptions!$B$37</f>
        <v>-7.024535000000002</v>
      </c>
      <c r="H15" s="19">
        <f>-MAX(0,H10+H14)*Assumptions!$B$37</f>
        <v>-8.381798600000003</v>
      </c>
      <c r="I15" s="19">
        <f>-MAX(0,I10+I14)*Assumptions!$B$37</f>
        <v>-9.768053624000004</v>
      </c>
    </row>
    <row r="16">
      <c r="A16" s="6" t="inlineStr">
        <is>
          <t>Less: maintenance capex (3.0% of revenue)</t>
        </is>
      </c>
      <c r="E16" s="19">
        <f>-E6*Assumptions!$B$34</f>
        <v>-3.3600000000000003</v>
      </c>
      <c r="F16" s="19">
        <f>-F6*Assumptions!$B$34</f>
        <v>-3.7296000000000005</v>
      </c>
      <c r="G16" s="19">
        <f>-G6*Assumptions!$B$34</f>
        <v>-4.102560000000001</v>
      </c>
      <c r="H16" s="19">
        <f>-H6*Assumptions!$B$34</f>
        <v>-4.4717904000000015</v>
      </c>
      <c r="I16" s="19">
        <f>-I6*Assumptions!$B$34</f>
        <v>-4.829533632000001</v>
      </c>
    </row>
    <row r="17">
      <c r="A17" s="6" t="inlineStr">
        <is>
          <t>Less: growth capex (1.0% of revenue)</t>
        </is>
      </c>
      <c r="E17" s="19">
        <f>-E6*Assumptions!$B$35</f>
        <v>-1.12</v>
      </c>
      <c r="F17" s="19">
        <f>-F6*Assumptions!$B$35</f>
        <v>-1.2432000000000003</v>
      </c>
      <c r="G17" s="19">
        <f>-G6*Assumptions!$B$35</f>
        <v>-1.3675200000000005</v>
      </c>
      <c r="H17" s="19">
        <f>-H6*Assumptions!$B$35</f>
        <v>-1.4905968000000005</v>
      </c>
      <c r="I17" s="19">
        <f>-I6*Assumptions!$B$35</f>
        <v>-1.6098445440000007</v>
      </c>
    </row>
    <row r="18">
      <c r="A18" s="6" t="inlineStr">
        <is>
          <t>Less: increase in NWC (5.0% of Δrevenue)</t>
        </is>
      </c>
      <c r="E18" s="19">
        <f>-(E6-D6)*Assumptions!$B$36</f>
        <v>-0.6000000000000008</v>
      </c>
      <c r="F18" s="19">
        <f>-(F6-E6)*Assumptions!$B$36</f>
        <v>-0.6160000000000004</v>
      </c>
      <c r="G18" s="19">
        <f>-(G6-F6)*Assumptions!$B$36</f>
        <v>-0.6216000000000008</v>
      </c>
      <c r="H18" s="19">
        <f>-(H6-G6)*Assumptions!$B$36</f>
        <v>-0.6153840000000003</v>
      </c>
      <c r="I18" s="19">
        <f>-(I6-H6)*Assumptions!$B$36</f>
        <v>-0.5962387200000009</v>
      </c>
    </row>
    <row r="19">
      <c r="A19" s="11" t="inlineStr">
        <is>
          <t>Free cash flow (retained as cash)</t>
        </is>
      </c>
      <c r="E19" s="21">
        <f>SUM(E13:E18)</f>
        <v>13.693124999999998</v>
      </c>
      <c r="F19" s="21">
        <f>SUM(F13:F18)</f>
        <v>17.473925000000005</v>
      </c>
      <c r="G19" s="21">
        <f>SUM(G13:G18)</f>
        <v>20.45200500000001</v>
      </c>
      <c r="H19" s="21">
        <f>SUM(H13:H18)</f>
        <v>24.53001180000001</v>
      </c>
      <c r="I19" s="21">
        <f>SUM(I13:I18)</f>
        <v>28.707922152000013</v>
      </c>
    </row>
    <row r="20">
      <c r="A20" s="6" t="inlineStr">
        <is>
          <t>Cumulative free cash flow</t>
        </is>
      </c>
      <c r="E20" s="29">
        <f>E19</f>
        <v>13.693124999999998</v>
      </c>
      <c r="F20" s="29">
        <f>E20+F19</f>
        <v>31.167050000000003</v>
      </c>
      <c r="G20" s="29">
        <f>F20+G19</f>
        <v>51.61905500000002</v>
      </c>
      <c r="H20" s="29">
        <f>G20+H19</f>
        <v>76.14906680000003</v>
      </c>
      <c r="I20" s="29">
        <f>H20+I19</f>
        <v>104.85698895200004</v>
      </c>
    </row>
    <row r="21">
      <c r="A21" s="2" t="inlineStr">
        <is>
          <t>Memo: EBT (EBIT - cash interest)</t>
        </is>
      </c>
      <c r="E21" s="29">
        <f>E10+E14</f>
        <v>19.057499999999997</v>
      </c>
      <c r="F21" s="29">
        <f>F10+F14</f>
        <v>24.11990000000001</v>
      </c>
      <c r="G21" s="29">
        <f>G10+G14</f>
        <v>28.098140000000008</v>
      </c>
      <c r="H21" s="29">
        <f>H10+H14</f>
        <v>33.52719440000001</v>
      </c>
      <c r="I21" s="29">
        <f>I10+I14</f>
        <v>39.072214496000015</v>
      </c>
    </row>
    <row r="23">
      <c r="A23" s="2" t="inlineStr">
        <is>
          <t>Note: FCF/covenant schedule is for completeness — bullet debt, no sweep, and the cash-excluded exit convention mean it does not change headline IRR/MoIC.</t>
        </is>
      </c>
    </row>
  </sheetData>
  <hyperlinks>
    <hyperlink ref="B2" location="'Assumptions'!A1" display="Assumptions"/>
    <hyperlink ref="C2" location="'Sources &amp; Uses'!A1" display="Sources &amp; Uses"/>
    <hyperlink ref="D2" location="'Debt Schedule'!A1" display="Debt Schedule"/>
    <hyperlink ref="E2" location="'Returns'!A1" display="Returns"/>
    <hyperlink ref="F2" location="'Sensitivity'!A1" display="Sensitivity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Debt Schedule &amp; Credit Statistics</t>
        </is>
      </c>
    </row>
    <row r="2">
      <c r="A2" s="2" t="inlineStr">
        <is>
          <t>Navigate:</t>
        </is>
      </c>
      <c r="B2" s="3" t="inlineStr">
        <is>
          <t>Assumptions</t>
        </is>
      </c>
      <c r="C2" s="3" t="inlineStr">
        <is>
          <t>Sources &amp; Uses</t>
        </is>
      </c>
      <c r="D2" s="3" t="inlineStr">
        <is>
          <t>Operating Model</t>
        </is>
      </c>
      <c r="E2" s="3" t="inlineStr">
        <is>
          <t>Returns</t>
        </is>
      </c>
      <c r="F2" s="3" t="inlineStr">
        <is>
          <t>Sensitivity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30" t="inlineStr">
        <is>
          <t>DEBT SCHEDULE ($m)</t>
        </is>
      </c>
      <c r="B4" s="18" t="inlineStr">
        <is>
          <t>At close</t>
        </is>
      </c>
      <c r="C4" s="18" t="inlineStr">
        <is>
          <t>Year 1</t>
        </is>
      </c>
      <c r="D4" s="18" t="inlineStr">
        <is>
          <t>Year 2</t>
        </is>
      </c>
      <c r="E4" s="18" t="inlineStr">
        <is>
          <t>Year 3</t>
        </is>
      </c>
      <c r="F4" s="18" t="inlineStr">
        <is>
          <t>Year 4</t>
        </is>
      </c>
      <c r="G4" s="18" t="inlineStr">
        <is>
          <t>Year 5</t>
        </is>
      </c>
    </row>
    <row r="6">
      <c r="A6" s="4" t="inlineStr">
        <is>
          <t>SENIOR TERM LOAN — SOFR 4.00% + 350 bps = 7.50% all-in, bullet, 7-yr tenor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Drawdown at close</t>
        </is>
      </c>
      <c r="B7" s="19">
        <f>'Sources &amp; Uses'!B13</f>
        <v>157.5</v>
      </c>
    </row>
    <row r="8">
      <c r="A8" s="6" t="inlineStr">
        <is>
          <t>Opening balance</t>
        </is>
      </c>
      <c r="C8" s="29">
        <f>B7</f>
        <v>157.5</v>
      </c>
      <c r="D8" s="29">
        <f>C11</f>
        <v>157.5</v>
      </c>
      <c r="E8" s="29">
        <f>D11</f>
        <v>157.5</v>
      </c>
      <c r="F8" s="29">
        <f>E11</f>
        <v>157.5</v>
      </c>
      <c r="G8" s="29">
        <f>F11</f>
        <v>157.5</v>
      </c>
    </row>
    <row r="9">
      <c r="A9" s="6" t="inlineStr">
        <is>
          <t>Less: mandatory amortization (bullet)</t>
        </is>
      </c>
      <c r="C9" s="29">
        <f>0</f>
        <v>0.0</v>
      </c>
      <c r="D9" s="29">
        <f>0</f>
        <v>0.0</v>
      </c>
      <c r="E9" s="29">
        <f>0</f>
        <v>0.0</v>
      </c>
      <c r="F9" s="29">
        <f>0</f>
        <v>0.0</v>
      </c>
      <c r="G9" s="29">
        <f>0</f>
        <v>0.0</v>
      </c>
    </row>
    <row r="10">
      <c r="A10" s="6" t="inlineStr">
        <is>
          <t>Less: cash sweep (none per deal terms)</t>
        </is>
      </c>
      <c r="C10" s="29">
        <f>0</f>
        <v>0.0</v>
      </c>
      <c r="D10" s="29">
        <f>0</f>
        <v>0.0</v>
      </c>
      <c r="E10" s="29">
        <f>0</f>
        <v>0.0</v>
      </c>
      <c r="F10" s="29">
        <f>0</f>
        <v>0.0</v>
      </c>
      <c r="G10" s="29">
        <f>0</f>
        <v>0.0</v>
      </c>
    </row>
    <row r="11">
      <c r="A11" s="11" t="inlineStr">
        <is>
          <t>Closing balance</t>
        </is>
      </c>
      <c r="C11" s="12">
        <f>C8-C9-C10</f>
        <v>157.5</v>
      </c>
      <c r="D11" s="12">
        <f>D8-D9-D10</f>
        <v>157.5</v>
      </c>
      <c r="E11" s="12">
        <f>E8-E9-E10</f>
        <v>157.5</v>
      </c>
      <c r="F11" s="12">
        <f>F8-F9-F10</f>
        <v>157.5</v>
      </c>
      <c r="G11" s="12">
        <f>G8-G9-G10</f>
        <v>157.5</v>
      </c>
    </row>
    <row r="12">
      <c r="A12" s="6" t="inlineStr">
        <is>
          <t>Interest rate (all-in)</t>
        </is>
      </c>
      <c r="C12" s="24">
        <f>Assumptions!$B$25</f>
        <v>0.07500000000000001</v>
      </c>
      <c r="D12" s="24">
        <f>Assumptions!$B$25</f>
        <v>0.07500000000000001</v>
      </c>
      <c r="E12" s="24">
        <f>Assumptions!$B$25</f>
        <v>0.07500000000000001</v>
      </c>
      <c r="F12" s="24">
        <f>Assumptions!$B$25</f>
        <v>0.07500000000000001</v>
      </c>
      <c r="G12" s="24">
        <f>Assumptions!$B$25</f>
        <v>0.07500000000000001</v>
      </c>
    </row>
    <row r="13">
      <c r="A13" s="6" t="inlineStr">
        <is>
          <t>Interest expense (on opening balance)</t>
        </is>
      </c>
      <c r="C13" s="29">
        <f>C8*C12</f>
        <v>11.812500000000002</v>
      </c>
      <c r="D13" s="29">
        <f>D8*D12</f>
        <v>11.812500000000002</v>
      </c>
      <c r="E13" s="29">
        <f>E8*E12</f>
        <v>11.812500000000002</v>
      </c>
      <c r="F13" s="29">
        <f>F8*F12</f>
        <v>11.812500000000002</v>
      </c>
      <c r="G13" s="29">
        <f>G8*G12</f>
        <v>11.812500000000002</v>
      </c>
    </row>
    <row r="15">
      <c r="A15" s="4" t="inlineStr">
        <is>
          <t>MEZZANINE NOTES — SOFR 4.00% + 700 bps = 11.00% all-in, bullet, 8-yr tenor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Drawdown at close</t>
        </is>
      </c>
      <c r="B16" s="19">
        <f>'Sources &amp; Uses'!B14</f>
        <v>35.0</v>
      </c>
    </row>
    <row r="17">
      <c r="A17" s="6" t="inlineStr">
        <is>
          <t>Opening balance</t>
        </is>
      </c>
      <c r="C17" s="29">
        <f>B16</f>
        <v>35.0</v>
      </c>
      <c r="D17" s="29">
        <f>C20</f>
        <v>35.0</v>
      </c>
      <c r="E17" s="29">
        <f>D20</f>
        <v>35.0</v>
      </c>
      <c r="F17" s="29">
        <f>E20</f>
        <v>35.0</v>
      </c>
      <c r="G17" s="29">
        <f>F20</f>
        <v>35.0</v>
      </c>
    </row>
    <row r="18">
      <c r="A18" s="6" t="inlineStr">
        <is>
          <t>Less: mandatory amortization (bullet)</t>
        </is>
      </c>
      <c r="C18" s="29">
        <f>0</f>
        <v>0.0</v>
      </c>
      <c r="D18" s="29">
        <f>0</f>
        <v>0.0</v>
      </c>
      <c r="E18" s="29">
        <f>0</f>
        <v>0.0</v>
      </c>
      <c r="F18" s="29">
        <f>0</f>
        <v>0.0</v>
      </c>
      <c r="G18" s="29">
        <f>0</f>
        <v>0.0</v>
      </c>
    </row>
    <row r="19">
      <c r="A19" s="6" t="inlineStr">
        <is>
          <t>Less: cash sweep (none per deal terms)</t>
        </is>
      </c>
      <c r="C19" s="29">
        <f>0</f>
        <v>0.0</v>
      </c>
      <c r="D19" s="29">
        <f>0</f>
        <v>0.0</v>
      </c>
      <c r="E19" s="29">
        <f>0</f>
        <v>0.0</v>
      </c>
      <c r="F19" s="29">
        <f>0</f>
        <v>0.0</v>
      </c>
      <c r="G19" s="29">
        <f>0</f>
        <v>0.0</v>
      </c>
    </row>
    <row r="20">
      <c r="A20" s="11" t="inlineStr">
        <is>
          <t>Closing balance</t>
        </is>
      </c>
      <c r="C20" s="12">
        <f>C17-C18-C19</f>
        <v>35.0</v>
      </c>
      <c r="D20" s="12">
        <f>D17-D18-D19</f>
        <v>35.0</v>
      </c>
      <c r="E20" s="12">
        <f>E17-E18-E19</f>
        <v>35.0</v>
      </c>
      <c r="F20" s="12">
        <f>F17-F18-F19</f>
        <v>35.0</v>
      </c>
      <c r="G20" s="12">
        <f>G17-G18-G19</f>
        <v>35.0</v>
      </c>
    </row>
    <row r="21">
      <c r="A21" s="6" t="inlineStr">
        <is>
          <t>Interest rate (all-in)</t>
        </is>
      </c>
      <c r="C21" s="24">
        <f>Assumptions!$B$29</f>
        <v>0.11000000000000001</v>
      </c>
      <c r="D21" s="24">
        <f>Assumptions!$B$29</f>
        <v>0.11000000000000001</v>
      </c>
      <c r="E21" s="24">
        <f>Assumptions!$B$29</f>
        <v>0.11000000000000001</v>
      </c>
      <c r="F21" s="24">
        <f>Assumptions!$B$29</f>
        <v>0.11000000000000001</v>
      </c>
      <c r="G21" s="24">
        <f>Assumptions!$B$29</f>
        <v>0.11000000000000001</v>
      </c>
    </row>
    <row r="22">
      <c r="A22" s="6" t="inlineStr">
        <is>
          <t>Interest expense (on opening balance)</t>
        </is>
      </c>
      <c r="C22" s="29">
        <f>C17*C21</f>
        <v>3.8500000000000005</v>
      </c>
      <c r="D22" s="29">
        <f>D17*D21</f>
        <v>3.8500000000000005</v>
      </c>
      <c r="E22" s="29">
        <f>E17*E21</f>
        <v>3.8500000000000005</v>
      </c>
      <c r="F22" s="29">
        <f>F17*F21</f>
        <v>3.8500000000000005</v>
      </c>
      <c r="G22" s="29">
        <f>G17*G21</f>
        <v>3.8500000000000005</v>
      </c>
    </row>
    <row r="24">
      <c r="A24" s="11" t="inlineStr">
        <is>
          <t>TOTAL DEBT (closing balance)</t>
        </is>
      </c>
      <c r="B24" s="21">
        <f>B7+B16</f>
        <v>192.5</v>
      </c>
      <c r="C24" s="21">
        <f>C11+C20</f>
        <v>192.5</v>
      </c>
      <c r="D24" s="21">
        <f>D11+D20</f>
        <v>192.5</v>
      </c>
      <c r="E24" s="21">
        <f>E11+E20</f>
        <v>192.5</v>
      </c>
      <c r="F24" s="21">
        <f>F11+F20</f>
        <v>192.5</v>
      </c>
      <c r="G24" s="21">
        <f>G11+G20</f>
        <v>192.5</v>
      </c>
    </row>
    <row r="25">
      <c r="A25" s="11" t="inlineStr">
        <is>
          <t>TOTAL CASH INTEREST</t>
        </is>
      </c>
      <c r="C25" s="12">
        <f>C13+C22</f>
        <v>15.662500000000001</v>
      </c>
      <c r="D25" s="12">
        <f>D13+D22</f>
        <v>15.662500000000001</v>
      </c>
      <c r="E25" s="12">
        <f>E13+E22</f>
        <v>15.662500000000001</v>
      </c>
      <c r="F25" s="12">
        <f>F13+F22</f>
        <v>15.662500000000001</v>
      </c>
      <c r="G25" s="12">
        <f>G13+G22</f>
        <v>15.662500000000001</v>
      </c>
    </row>
    <row r="27">
      <c r="A27" s="4" t="inlineStr">
        <is>
          <t>CASH ROLL-FORWARD &amp; CREDIT STATISTICS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Opening cash</t>
        </is>
      </c>
      <c r="C28" s="29">
        <f>B30</f>
        <v>5.0</v>
      </c>
      <c r="D28" s="29">
        <f>C30</f>
        <v>18.693125</v>
      </c>
      <c r="E28" s="29">
        <f>D30</f>
        <v>36.16705</v>
      </c>
      <c r="F28" s="29">
        <f>E30</f>
        <v>56.61905500000002</v>
      </c>
      <c r="G28" s="29">
        <f>F30</f>
        <v>81.14906680000003</v>
      </c>
    </row>
    <row r="29">
      <c r="A29" s="6" t="inlineStr">
        <is>
          <t>Plus: free cash flow (no sweep)</t>
        </is>
      </c>
      <c r="C29" s="19">
        <f>'Operating Model'!E19</f>
        <v>13.693124999999998</v>
      </c>
      <c r="D29" s="19">
        <f>'Operating Model'!F19</f>
        <v>17.473925000000005</v>
      </c>
      <c r="E29" s="19">
        <f>'Operating Model'!G19</f>
        <v>20.45200500000001</v>
      </c>
      <c r="F29" s="19">
        <f>'Operating Model'!H19</f>
        <v>24.53001180000001</v>
      </c>
      <c r="G29" s="19">
        <f>'Operating Model'!I19</f>
        <v>28.707922152000013</v>
      </c>
    </row>
    <row r="30">
      <c r="A30" s="11" t="inlineStr">
        <is>
          <t>Closing cash</t>
        </is>
      </c>
      <c r="B30" s="32">
        <f>Assumptions!B19</f>
        <v>5.0</v>
      </c>
      <c r="C30" s="12">
        <f>C28+C29</f>
        <v>18.693125</v>
      </c>
      <c r="D30" s="12">
        <f>D28+D29</f>
        <v>36.16705</v>
      </c>
      <c r="E30" s="12">
        <f>E28+E29</f>
        <v>56.61905500000002</v>
      </c>
      <c r="F30" s="12">
        <f>F28+F29</f>
        <v>81.14906680000003</v>
      </c>
      <c r="G30" s="12">
        <f>G28+G29</f>
        <v>109.85698895200004</v>
      </c>
    </row>
    <row r="31">
      <c r="A31" s="6" t="inlineStr">
        <is>
          <t>Net debt (total debt - closing cash)</t>
        </is>
      </c>
      <c r="B31" s="29">
        <f>B24-B30</f>
        <v>187.5</v>
      </c>
      <c r="C31" s="29">
        <f>C24-C30</f>
        <v>173.806875</v>
      </c>
      <c r="D31" s="29">
        <f>D24-D30</f>
        <v>156.33294999999998</v>
      </c>
      <c r="E31" s="29">
        <f>E24-E30</f>
        <v>135.880945</v>
      </c>
      <c r="F31" s="29">
        <f>F24-F30</f>
        <v>111.35093319999997</v>
      </c>
      <c r="G31" s="29">
        <f>G24-G30</f>
        <v>82.64301104799996</v>
      </c>
    </row>
    <row r="32">
      <c r="A32" s="6" t="inlineStr">
        <is>
          <t>Gross leverage (total debt / EBITDA)</t>
        </is>
      </c>
      <c r="B32" s="23">
        <f>B24/Assumptions!B13</f>
        <v>5.5</v>
      </c>
      <c r="C32" s="23">
        <f>C24/'Operating Model'!E8</f>
        <v>4.910714285714286</v>
      </c>
      <c r="D32" s="23">
        <f>D24/'Operating Model'!F8</f>
        <v>4.301176176176175</v>
      </c>
      <c r="E32" s="23">
        <f>E24/'Operating Model'!G8</f>
        <v>3.910160160160159</v>
      </c>
      <c r="F32" s="23">
        <f>F24/'Operating Model'!H8</f>
        <v>3.4903487668178954</v>
      </c>
      <c r="G32" s="23">
        <f>G24/'Operating Model'!I8</f>
        <v>3.146756929148687</v>
      </c>
    </row>
    <row r="33">
      <c r="A33" s="6" t="inlineStr">
        <is>
          <t>Net leverage (net debt / EBITDA)</t>
        </is>
      </c>
      <c r="B33" s="23">
        <f>B31/Assumptions!B13</f>
        <v>5.357142857142857</v>
      </c>
      <c r="C33" s="23">
        <f>C31/'Operating Model'!E8</f>
        <v>4.433848852040816</v>
      </c>
      <c r="D33" s="23">
        <f>D31/'Operating Model'!F8</f>
        <v>3.4930678446303434</v>
      </c>
      <c r="E33" s="23">
        <f>E31/'Operating Model'!G8</f>
        <v>2.760084455396955</v>
      </c>
      <c r="F33" s="23">
        <f>F31/'Operating Model'!H8</f>
        <v>2.018979700668269</v>
      </c>
      <c r="G33" s="23">
        <f>G31/'Operating Model'!I8</f>
        <v>1.3509478839532747</v>
      </c>
    </row>
    <row r="34">
      <c r="A34" s="6" t="inlineStr">
        <is>
          <t>Interest coverage (EBITDA / cash interest)</t>
        </is>
      </c>
      <c r="C34" s="23">
        <f>'Operating Model'!E8/C25</f>
        <v>2.5027932960893855</v>
      </c>
      <c r="D34" s="23">
        <f>'Operating Model'!F8/D25</f>
        <v>2.857474860335196</v>
      </c>
      <c r="E34" s="23">
        <f>'Operating Model'!G8/E25</f>
        <v>3.1432223463687157</v>
      </c>
      <c r="F34" s="23">
        <f>'Operating Model'!H8/F25</f>
        <v>3.5212821452513974</v>
      </c>
      <c r="G34" s="23">
        <f>'Operating Model'!I8/G25</f>
        <v>3.9057680875977665</v>
      </c>
    </row>
    <row r="36">
      <c r="A36" s="2" t="inlineStr">
        <is>
          <t>Note: interest accrues on opening balances. Both tranches bullet with no sweep -&gt; debt outstanding at exit = 192.5 face value.</t>
        </is>
      </c>
    </row>
  </sheetData>
  <hyperlinks>
    <hyperlink ref="B2" location="'Assumptions'!A1" display="Assumptions"/>
    <hyperlink ref="C2" location="'Sources &amp; Uses'!A1" display="Sources &amp; Uses"/>
    <hyperlink ref="D2" location="'Operating Model'!A1" display="Operating Model"/>
    <hyperlink ref="E2" location="'Returns'!A1" display="Returns"/>
    <hyperlink ref="F2" location="'Sensitivity'!A1" display="Sensitivity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Exit &amp; Sponsor Returns</t>
        </is>
      </c>
    </row>
    <row r="2">
      <c r="A2" s="2" t="inlineStr">
        <is>
          <t>Navigate:</t>
        </is>
      </c>
      <c r="B2" s="3" t="inlineStr">
        <is>
          <t>Assumptions</t>
        </is>
      </c>
      <c r="C2" s="3" t="inlineStr">
        <is>
          <t>Sources &amp; Uses</t>
        </is>
      </c>
      <c r="D2" s="3" t="inlineStr">
        <is>
          <t>Operating Model</t>
        </is>
      </c>
      <c r="E2" s="3" t="inlineStr">
        <is>
          <t>Debt Schedule</t>
        </is>
      </c>
      <c r="F2" s="3" t="inlineStr">
        <is>
          <t>Sensitivity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4" t="inlineStr">
        <is>
          <t>EXIT EQUITY BRIDGE (end of Year 5, strategic sale)</t>
        </is>
      </c>
      <c r="B4" s="5" t="n"/>
      <c r="C4" s="5" t="n"/>
    </row>
    <row r="5">
      <c r="A5" s="6" t="inlineStr">
        <is>
          <t>Year-5 EBITDA ($m)  (exit basis: projected, not entry LTM)</t>
        </is>
      </c>
      <c r="B5" s="19">
        <f>'Operating Model'!I8</f>
        <v>61.17409267200002</v>
      </c>
    </row>
    <row r="6">
      <c r="A6" s="6" t="inlineStr">
        <is>
          <t>Exit EV / EBITDA multiple (x)</t>
        </is>
      </c>
      <c r="B6" s="33">
        <f>Assumptions!B41</f>
        <v>9.0</v>
      </c>
    </row>
    <row r="7">
      <c r="A7" s="6" t="inlineStr">
        <is>
          <t>Exit enterprise value ($m)</t>
        </is>
      </c>
      <c r="B7" s="29">
        <f>B5*B6</f>
        <v>550.5668340480001</v>
      </c>
    </row>
    <row r="8">
      <c r="A8" s="6" t="inlineStr">
        <is>
          <t>Less: debt outstanding at exit ($m)</t>
        </is>
      </c>
      <c r="B8" s="19">
        <f>-'Debt Schedule'!G24</f>
        <v>-192.5</v>
      </c>
    </row>
    <row r="9">
      <c r="A9" s="11" t="inlineStr">
        <is>
          <t>EXIT EQUITY PROCEEDS ($m)</t>
        </is>
      </c>
      <c r="B9" s="21">
        <f>B7+B8</f>
        <v>358.06683404800015</v>
      </c>
    </row>
    <row r="10">
      <c r="A10" s="2" t="inlineStr">
        <is>
          <t>Memo: accumulated balance-sheet cash at exit — EXCLUDED from bridge (conservative convention)</t>
        </is>
      </c>
      <c r="B10" s="19">
        <f>'Debt Schedule'!G30</f>
        <v>109.85698895200004</v>
      </c>
    </row>
    <row r="12">
      <c r="A12" s="4" t="inlineStr">
        <is>
          <t>SPONSOR CASH FLOW SERIES ($m) — no interim distributions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B13" s="18" t="inlineStr">
        <is>
          <t>Year 0</t>
        </is>
      </c>
      <c r="C13" s="18" t="inlineStr">
        <is>
          <t>Year 1</t>
        </is>
      </c>
      <c r="D13" s="18" t="inlineStr">
        <is>
          <t>Year 2</t>
        </is>
      </c>
      <c r="E13" s="18" t="inlineStr">
        <is>
          <t>Year 3</t>
        </is>
      </c>
      <c r="F13" s="18" t="inlineStr">
        <is>
          <t>Year 4</t>
        </is>
      </c>
      <c r="G13" s="18" t="inlineStr">
        <is>
          <t>Year 5</t>
        </is>
      </c>
    </row>
    <row r="14">
      <c r="A14" s="11" t="inlineStr">
        <is>
          <t>Sponsor cash flow</t>
        </is>
      </c>
      <c r="B14" s="32">
        <f>-'Sources &amp; Uses'!B15</f>
        <v>-174.5</v>
      </c>
      <c r="C14" s="29">
        <f>0</f>
        <v>0.0</v>
      </c>
      <c r="D14" s="29">
        <f>0</f>
        <v>0.0</v>
      </c>
      <c r="E14" s="29">
        <f>0</f>
        <v>0.0</v>
      </c>
      <c r="F14" s="29">
        <f>0</f>
        <v>0.0</v>
      </c>
      <c r="G14" s="12">
        <f>B9</f>
        <v>358.06683404800015</v>
      </c>
    </row>
    <row r="16">
      <c r="A16" s="4" t="inlineStr">
        <is>
          <t>RETURNS</t>
        </is>
      </c>
      <c r="B16" s="5" t="n"/>
      <c r="C16" s="5" t="n"/>
    </row>
    <row r="17">
      <c r="A17" s="11" t="inlineStr">
        <is>
          <t>Sponsor IRR (annual)</t>
        </is>
      </c>
      <c r="B17" s="34">
        <f>IRR(B14:G14)</f>
        <v>0.1546057952742501</v>
      </c>
    </row>
    <row r="18">
      <c r="A18" s="11" t="inlineStr">
        <is>
          <t>Sponsor MoIC (x)</t>
        </is>
      </c>
      <c r="B18" s="13">
        <f>G14/-B14</f>
        <v>2.0519589343724935</v>
      </c>
    </row>
    <row r="19">
      <c r="A19" s="6" t="inlineStr">
        <is>
          <t>Hold period (years)</t>
        </is>
      </c>
      <c r="B19" s="35">
        <f>Assumptions!B40</f>
        <v>5.0</v>
      </c>
    </row>
    <row r="20">
      <c r="A20" s="26" t="inlineStr">
        <is>
          <t>CHECK: (1+IRR)^hold - MoIC = 0  (single in/out cash flow)</t>
        </is>
      </c>
      <c r="B20" s="36">
        <f>(1+B17)^B19-B18</f>
        <v>-7.993605777301127e-15</v>
      </c>
      <c r="C20" s="28" t="str">
        <f>IF(ABS(B20)&lt;0.0001,"OK","ERROR")</f>
        <v>OK</v>
      </c>
    </row>
    <row r="22">
      <c r="A22" s="4" t="inlineStr">
        <is>
          <t>HEADLINE OUTPUTS (benchmark labels)</t>
        </is>
      </c>
      <c r="B22" s="5" t="n"/>
      <c r="C22" s="5" t="n"/>
    </row>
    <row r="23">
      <c r="A23" s="11" t="inlineStr">
        <is>
          <t>sponsor_irr</t>
        </is>
      </c>
      <c r="B23" s="37">
        <f>B17</f>
        <v>0.1546057952742501</v>
      </c>
      <c r="C23" s="2" t="inlineStr">
        <is>
          <t>annual IRR, decimal</t>
        </is>
      </c>
    </row>
    <row r="24">
      <c r="A24" s="11" t="inlineStr">
        <is>
          <t>sponsor_moic</t>
        </is>
      </c>
      <c r="B24" s="37">
        <f>B18</f>
        <v>2.0519589343724935</v>
      </c>
      <c r="C24" s="2" t="inlineStr">
        <is>
          <t>exit equity proceeds / sponsor equity</t>
        </is>
      </c>
    </row>
    <row r="25">
      <c r="A25" s="11" t="inlineStr">
        <is>
          <t>exit_equity_proceeds</t>
        </is>
      </c>
      <c r="B25" s="38">
        <f>B9</f>
        <v>358.06683404800015</v>
      </c>
      <c r="C25" s="2" t="inlineStr">
        <is>
          <t>$m; exit EV - debt at exit</t>
        </is>
      </c>
    </row>
    <row r="26">
      <c r="A26" s="11" t="inlineStr">
        <is>
          <t>sponsor_equity_cheque</t>
        </is>
      </c>
      <c r="B26" s="39">
        <f>'Sources &amp; Uses'!B15</f>
        <v>174.5</v>
      </c>
      <c r="C26" s="2" t="inlineStr">
        <is>
          <t>$m; S&amp;U balancing plug</t>
        </is>
      </c>
    </row>
  </sheetData>
  <hyperlinks>
    <hyperlink ref="B2" location="'Assumptions'!A1" display="Assumptions"/>
    <hyperlink ref="C2" location="'Sources &amp; Uses'!A1" display="Sources &amp; Uses"/>
    <hyperlink ref="D2" location="'Operating Model'!A1" display="Operating Model"/>
    <hyperlink ref="E2" location="'Debt Schedule'!A1" display="Debt Schedule"/>
    <hyperlink ref="F2" location="'Sensitivity'!A1" display="Sensitivity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SaaSCo — Sponsor LBO (BM-LBO-001)  |  Sensitivity Analysis</t>
        </is>
      </c>
    </row>
    <row r="2">
      <c r="A2" s="2" t="inlineStr">
        <is>
          <t>Navigate:</t>
        </is>
      </c>
      <c r="B2" s="3" t="inlineStr">
        <is>
          <t>Assumptions</t>
        </is>
      </c>
      <c r="C2" s="3" t="inlineStr">
        <is>
          <t>Sources &amp; Uses</t>
        </is>
      </c>
      <c r="D2" s="3" t="inlineStr">
        <is>
          <t>Operating Model</t>
        </is>
      </c>
      <c r="E2" s="3" t="inlineStr">
        <is>
          <t>Debt Schedule</t>
        </is>
      </c>
      <c r="F2" s="3" t="inlineStr">
        <is>
          <t>Returns</t>
        </is>
      </c>
    </row>
    <row r="3">
      <c r="A3" s="2" t="inlineStr">
        <is>
          <t>USD millions unless noted. Blue = input, black = calculation, green = link from another sheet.</t>
        </is>
      </c>
    </row>
    <row r="4">
      <c r="A4" s="4" t="inlineStr">
        <is>
          <t>SPONSOR IRR — EXIT EV/EBITDA MULTIPLE (rows) x REVENUE GROWTH DELTA, uniform p.a. shift (cols)</t>
        </is>
      </c>
      <c r="B4" s="5" t="n"/>
      <c r="C4" s="5" t="n"/>
      <c r="D4" s="5" t="n"/>
      <c r="E4" s="5" t="n"/>
      <c r="F4" s="5" t="n"/>
    </row>
    <row r="5">
      <c r="A5" s="4" t="inlineStr">
        <is>
          <t>Exit multiple \ Δ growth p.a.</t>
        </is>
      </c>
      <c r="B5" s="40" t="n">
        <v>-0.02</v>
      </c>
      <c r="C5" s="40" t="n">
        <v>-0.01</v>
      </c>
      <c r="D5" s="40" t="n">
        <v>0</v>
      </c>
      <c r="E5" s="40" t="n">
        <v>0.01</v>
      </c>
      <c r="F5" s="40" t="n">
        <v>0.02</v>
      </c>
    </row>
    <row r="6">
      <c r="A6" s="41" t="n">
        <v>7</v>
      </c>
      <c r="B6" s="20">
        <f>(($A6*('Operating Model'!$D$6*(1+'Operating Model'!$E$5+B$5)*(1+'Operating Model'!$F$5+B$5)*(1+'Operating Model'!$G$5+B$5)*(1+'Operating Model'!$H$5+B$5)*(1+'Operating Model'!$I$5+B$5))*'Operating Model'!$I$7-ExitDebt)/SponsorEquity)^(1/HoldYears)-1</f>
        <v>0.025770332285870667</v>
      </c>
      <c r="C6" s="20">
        <f>(($A6*('Operating Model'!$D$6*(1+'Operating Model'!$E$5+C$5)*(1+'Operating Model'!$F$5+C$5)*(1+'Operating Model'!$G$5+C$5)*(1+'Operating Model'!$H$5+C$5)*(1+'Operating Model'!$I$5+C$5))*'Operating Model'!$I$7-ExitDebt)/SponsorEquity)^(1/HoldYears)-1</f>
        <v>0.044175030983719665</v>
      </c>
      <c r="D6" s="20">
        <f>(($A6*('Operating Model'!$D$6*(1+'Operating Model'!$E$5+D$5)*(1+'Operating Model'!$F$5+D$5)*(1+'Operating Model'!$G$5+D$5)*(1+'Operating Model'!$H$5+D$5)*(1+'Operating Model'!$I$5+D$5))*'Operating Model'!$I$7-ExitDebt)/SponsorEquity)^(1/HoldYears)-1</f>
        <v>0.06198822706887497</v>
      </c>
      <c r="E6" s="20">
        <f>(($A6*('Operating Model'!$D$6*(1+'Operating Model'!$E$5+E$5)*(1+'Operating Model'!$F$5+E$5)*(1+'Operating Model'!$G$5+E$5)*(1+'Operating Model'!$H$5+E$5)*(1+'Operating Model'!$I$5+E$5))*'Operating Model'!$I$7-ExitDebt)/SponsorEquity)^(1/HoldYears)-1</f>
        <v>0.07927945696509164</v>
      </c>
      <c r="F6" s="20">
        <f>(($A6*('Operating Model'!$D$6*(1+'Operating Model'!$E$5+F$5)*(1+'Operating Model'!$F$5+F$5)*(1+'Operating Model'!$G$5+F$5)*(1+'Operating Model'!$H$5+F$5)*(1+'Operating Model'!$I$5+F$5))*'Operating Model'!$I$7-ExitDebt)/SponsorEquity)^(1/HoldYears)-1</f>
        <v>0.09610699832765857</v>
      </c>
    </row>
    <row r="7">
      <c r="A7" s="41" t="n">
        <v>7.5</v>
      </c>
      <c r="B7" s="20">
        <f>(($A7*('Operating Model'!$D$6*(1+'Operating Model'!$E$5+B$5)*(1+'Operating Model'!$F$5+B$5)*(1+'Operating Model'!$G$5+B$5)*(1+'Operating Model'!$H$5+B$5)*(1+'Operating Model'!$I$5+B$5))*'Operating Model'!$I$7-ExitDebt)/SponsorEquity)^(1/HoldYears)-1</f>
        <v>0.053156616225557896</v>
      </c>
      <c r="C7" s="20">
        <f>(($A7*('Operating Model'!$D$6*(1+'Operating Model'!$E$5+C$5)*(1+'Operating Model'!$F$5+C$5)*(1+'Operating Model'!$G$5+C$5)*(1+'Operating Model'!$H$5+C$5)*(1+'Operating Model'!$I$5+C$5))*'Operating Model'!$I$7-ExitDebt)/SponsorEquity)^(1/HoldYears)-1</f>
        <v>0.07094094193380185</v>
      </c>
      <c r="D7" s="20">
        <f>(($A7*('Operating Model'!$D$6*(1+'Operating Model'!$E$5+D$5)*(1+'Operating Model'!$F$5+D$5)*(1+'Operating Model'!$G$5+D$5)*(1+'Operating Model'!$H$5+D$5)*(1+'Operating Model'!$I$5+D$5))*'Operating Model'!$I$7-ExitDebt)/SponsorEquity)^(1/HoldYears)-1</f>
        <v>0.08822075465427148</v>
      </c>
      <c r="E7" s="20">
        <f>(($A7*('Operating Model'!$D$6*(1+'Operating Model'!$E$5+E$5)*(1+'Operating Model'!$F$5+E$5)*(1+'Operating Model'!$G$5+E$5)*(1+'Operating Model'!$H$5+E$5)*(1+'Operating Model'!$I$5+E$5))*'Operating Model'!$I$7-ExitDebt)/SponsorEquity)^(1/HoldYears)-1</f>
        <v>0.10505168501797946</v>
      </c>
      <c r="F7" s="20">
        <f>(($A7*('Operating Model'!$D$6*(1+'Operating Model'!$E$5+F$5)*(1+'Operating Model'!$F$5+F$5)*(1+'Operating Model'!$G$5+F$5)*(1+'Operating Model'!$H$5+F$5)*(1+'Operating Model'!$I$5+F$5))*'Operating Model'!$I$7-ExitDebt)/SponsorEquity)^(1/HoldYears)-1</f>
        <v>0.12148094473065463</v>
      </c>
    </row>
    <row r="8">
      <c r="A8" s="41" t="n">
        <v>8</v>
      </c>
      <c r="B8" s="20">
        <f>(($A8*('Operating Model'!$D$6*(1+'Operating Model'!$E$5+B$5)*(1+'Operating Model'!$F$5+B$5)*(1+'Operating Model'!$G$5+B$5)*(1+'Operating Model'!$H$5+B$5)*(1+'Operating Model'!$I$5+B$5))*'Operating Model'!$I$7-ExitDebt)/SponsorEquity)^(1/HoldYears)-1</f>
        <v>0.07795908868697676</v>
      </c>
      <c r="C8" s="20">
        <f>(($A8*('Operating Model'!$D$6*(1+'Operating Model'!$E$5+C$5)*(1+'Operating Model'!$F$5+C$5)*(1+'Operating Model'!$G$5+C$5)*(1+'Operating Model'!$H$5+C$5)*(1+'Operating Model'!$I$5+C$5))*'Operating Model'!$I$7-ExitDebt)/SponsorEquity)^(1/HoldYears)-1</f>
        <v>0.0952710726388315</v>
      </c>
      <c r="D8" s="20">
        <f>(($A8*('Operating Model'!$D$6*(1+'Operating Model'!$E$5+D$5)*(1+'Operating Model'!$F$5+D$5)*(1+'Operating Model'!$G$5+D$5)*(1+'Operating Model'!$H$5+D$5)*(1+'Operating Model'!$I$5+D$5))*'Operating Model'!$I$7-ExitDebt)/SponsorEquity)^(1/HoldYears)-1</f>
        <v>0.11214350455076794</v>
      </c>
      <c r="E8" s="20">
        <f>(($A8*('Operating Model'!$D$6*(1+'Operating Model'!$E$5+E$5)*(1+'Operating Model'!$F$5+E$5)*(1+'Operating Model'!$G$5+E$5)*(1+'Operating Model'!$H$5+E$5)*(1+'Operating Model'!$I$5+E$5))*'Operating Model'!$I$7-ExitDebt)/SponsorEquity)^(1/HoldYears)-1</f>
        <v>0.12862230037782751</v>
      </c>
      <c r="F8" s="20">
        <f>(($A8*('Operating Model'!$D$6*(1+'Operating Model'!$E$5+F$5)*(1+'Operating Model'!$F$5+F$5)*(1+'Operating Model'!$G$5+F$5)*(1+'Operating Model'!$H$5+F$5)*(1+'Operating Model'!$I$5+F$5))*'Operating Model'!$I$7-ExitDebt)/SponsorEquity)^(1/HoldYears)-1</f>
        <v>0.14474681851815174</v>
      </c>
    </row>
    <row r="9">
      <c r="A9" s="41" t="n">
        <v>8.5</v>
      </c>
      <c r="B9" s="20">
        <f>(($A9*('Operating Model'!$D$6*(1+'Operating Model'!$E$5+B$5)*(1+'Operating Model'!$F$5+B$5)*(1+'Operating Model'!$G$5+B$5)*(1+'Operating Model'!$H$5+B$5)*(1+'Operating Model'!$I$5+B$5))*'Operating Model'!$I$7-ExitDebt)/SponsorEquity)^(1/HoldYears)-1</f>
        <v>0.1006689260516882</v>
      </c>
      <c r="C9" s="20">
        <f>(($A9*('Operating Model'!$D$6*(1+'Operating Model'!$E$5+C$5)*(1+'Operating Model'!$F$5+C$5)*(1+'Operating Model'!$G$5+C$5)*(1+'Operating Model'!$H$5+C$5)*(1+'Operating Model'!$I$5+C$5))*'Operating Model'!$I$7-ExitDebt)/SponsorEquity)^(1/HoldYears)-1</f>
        <v>0.11761369319784909</v>
      </c>
      <c r="D9" s="20">
        <f>(($A9*('Operating Model'!$D$6*(1+'Operating Model'!$E$5+D$5)*(1+'Operating Model'!$F$5+D$5)*(1+'Operating Model'!$G$5+D$5)*(1+'Operating Model'!$H$5+D$5)*(1+'Operating Model'!$I$5+D$5))*'Operating Model'!$I$7-ExitDebt)/SponsorEquity)^(1/HoldYears)-1</f>
        <v>0.1341691074507314</v>
      </c>
      <c r="E9" s="20">
        <f>(($A9*('Operating Model'!$D$6*(1+'Operating Model'!$E$5+E$5)*(1+'Operating Model'!$F$5+E$5)*(1+'Operating Model'!$G$5+E$5)*(1+'Operating Model'!$H$5+E$5)*(1+'Operating Model'!$I$5+E$5))*'Operating Model'!$I$7-ExitDebt)/SponsorEquity)^(1/HoldYears)-1</f>
        <v>0.15037399901659243</v>
      </c>
      <c r="F9" s="20">
        <f>(($A9*('Operating Model'!$D$6*(1+'Operating Model'!$E$5+F$5)*(1+'Operating Model'!$F$5+F$5)*(1+'Operating Model'!$G$5+F$5)*(1+'Operating Model'!$H$5+F$5)*(1+'Operating Model'!$I$5+F$5))*'Operating Model'!$I$7-ExitDebt)/SponsorEquity)^(1/HoldYears)-1</f>
        <v>0.1662619248973891</v>
      </c>
    </row>
    <row r="10">
      <c r="A10" s="41" t="n">
        <v>9</v>
      </c>
      <c r="B10" s="20">
        <f>(($A10*('Operating Model'!$D$6*(1+'Operating Model'!$E$5+B$5)*(1+'Operating Model'!$F$5+B$5)*(1+'Operating Model'!$G$5+B$5)*(1+'Operating Model'!$H$5+B$5)*(1+'Operating Model'!$I$5+B$5))*'Operating Model'!$I$7-ExitDebt)/SponsorEquity)^(1/HoldYears)-1</f>
        <v>0.12164581492712268</v>
      </c>
      <c r="C10" s="20">
        <f>(($A10*('Operating Model'!$D$6*(1+'Operating Model'!$E$5+C$5)*(1+'Operating Model'!$F$5+C$5)*(1+'Operating Model'!$G$5+C$5)*(1+'Operating Model'!$H$5+C$5)*(1+'Operating Model'!$I$5+C$5))*'Operating Model'!$I$7-ExitDebt)/SponsorEquity)^(1/HoldYears)-1</f>
        <v>0.13830054796745017</v>
      </c>
      <c r="D10" s="42">
        <f>(($A10*('Operating Model'!$D$6*(1+'Operating Model'!$E$5+D$5)*(1+'Operating Model'!$F$5+D$5)*(1+'Operating Model'!$G$5+D$5)*(1+'Operating Model'!$H$5+D$5)*(1+'Operating Model'!$I$5+D$5))*'Operating Model'!$I$7-ExitDebt)/SponsorEquity)^(1/HoldYears)-1</f>
        <v>0.154605795274251</v>
      </c>
      <c r="E10" s="20">
        <f>(($A10*('Operating Model'!$D$6*(1+'Operating Model'!$E$5+E$5)*(1+'Operating Model'!$F$5+E$5)*(1+'Operating Model'!$G$5+E$5)*(1+'Operating Model'!$H$5+E$5)*(1+'Operating Model'!$I$5+E$5))*'Operating Model'!$I$7-ExitDebt)/SponsorEquity)^(1/HoldYears)-1</f>
        <v>0.17059503786820795</v>
      </c>
      <c r="F10" s="20">
        <f>(($A10*('Operating Model'!$D$6*(1+'Operating Model'!$E$5+F$5)*(1+'Operating Model'!$F$5+F$5)*(1+'Operating Model'!$G$5+F$5)*(1+'Operating Model'!$H$5+F$5)*(1+'Operating Model'!$I$5+F$5))*'Operating Model'!$I$7-ExitDebt)/SponsorEquity)^(1/HoldYears)-1</f>
        <v>0.18629740685471563</v>
      </c>
    </row>
    <row r="11">
      <c r="A11" s="41" t="n">
        <v>9.5</v>
      </c>
      <c r="B11" s="20">
        <f>(($A11*('Operating Model'!$D$6*(1+'Operating Model'!$E$5+B$5)*(1+'Operating Model'!$F$5+B$5)*(1+'Operating Model'!$G$5+B$5)*(1+'Operating Model'!$H$5+B$5)*(1+'Operating Model'!$I$5+B$5))*'Operating Model'!$I$7-ExitDebt)/SponsorEquity)^(1/HoldYears)-1</f>
        <v>0.14116158808987467</v>
      </c>
      <c r="C11" s="20">
        <f>(($A11*('Operating Model'!$D$6*(1+'Operating Model'!$E$5+C$5)*(1+'Operating Model'!$F$5+C$5)*(1+'Operating Model'!$G$5+C$5)*(1+'Operating Model'!$H$5+C$5)*(1+'Operating Model'!$I$5+C$5))*'Operating Model'!$I$7-ExitDebt)/SponsorEquity)^(1/HoldYears)-1</f>
        <v>0.15758449859874646</v>
      </c>
      <c r="D11" s="20">
        <f>(($A11*('Operating Model'!$D$6*(1+'Operating Model'!$E$5+D$5)*(1+'Operating Model'!$F$5+D$5)*(1+'Operating Model'!$G$5+D$5)*(1+'Operating Model'!$H$5+D$5)*(1+'Operating Model'!$I$5+D$5))*'Operating Model'!$I$7-ExitDebt)/SponsorEquity)^(1/HoldYears)-1</f>
        <v>0.17369030002640318</v>
      </c>
      <c r="E11" s="20">
        <f>(($A11*('Operating Model'!$D$6*(1+'Operating Model'!$E$5+E$5)*(1+'Operating Model'!$F$5+E$5)*(1+'Operating Model'!$G$5+E$5)*(1+'Operating Model'!$H$5+E$5)*(1+'Operating Model'!$I$5+E$5))*'Operating Model'!$I$7-ExitDebt)/SponsorEquity)^(1/HoldYears)-1</f>
        <v>0.18950832025688835</v>
      </c>
      <c r="F11" s="20">
        <f>(($A11*('Operating Model'!$D$6*(1+'Operating Model'!$E$5+F$5)*(1+'Operating Model'!$F$5+F$5)*(1+'Operating Model'!$G$5+F$5)*(1+'Operating Model'!$H$5+F$5)*(1+'Operating Model'!$I$5+F$5))*'Operating Model'!$I$7-ExitDebt)/SponsorEquity)^(1/HoldYears)-1</f>
        <v>0.20506422353491516</v>
      </c>
    </row>
    <row r="12">
      <c r="A12" s="41" t="n">
        <v>10</v>
      </c>
      <c r="B12" s="20">
        <f>(($A12*('Operating Model'!$D$6*(1+'Operating Model'!$E$5+B$5)*(1+'Operating Model'!$F$5+B$5)*(1+'Operating Model'!$G$5+B$5)*(1+'Operating Model'!$H$5+B$5)*(1+'Operating Model'!$I$5+B$5))*'Operating Model'!$I$7-ExitDebt)/SponsorEquity)^(1/HoldYears)-1</f>
        <v>0.1594270271383944</v>
      </c>
      <c r="C12" s="20">
        <f>(($A12*('Operating Model'!$D$6*(1+'Operating Model'!$E$5+C$5)*(1+'Operating Model'!$F$5+C$5)*(1+'Operating Model'!$G$5+C$5)*(1+'Operating Model'!$H$5+C$5)*(1+'Operating Model'!$I$5+C$5))*'Operating Model'!$I$7-ExitDebt)/SponsorEquity)^(1/HoldYears)-1</f>
        <v>0.17566300150974956</v>
      </c>
      <c r="D12" s="20">
        <f>(($A12*('Operating Model'!$D$6*(1+'Operating Model'!$E$5+D$5)*(1+'Operating Model'!$F$5+D$5)*(1+'Operating Model'!$G$5+D$5)*(1+'Operating Model'!$H$5+D$5)*(1+'Operating Model'!$I$5+D$5))*'Operating Model'!$I$7-ExitDebt)/SponsorEquity)^(1/HoldYears)-1</f>
        <v>0.19160865291780005</v>
      </c>
      <c r="E12" s="20">
        <f>(($A12*('Operating Model'!$D$6*(1+'Operating Model'!$E$5+E$5)*(1+'Operating Model'!$F$5+E$5)*(1+'Operating Model'!$G$5+E$5)*(1+'Operating Model'!$H$5+E$5)*(1+'Operating Model'!$I$5+E$5))*'Operating Model'!$I$7-ExitDebt)/SponsorEquity)^(1/HoldYears)-1</f>
        <v>0.2072900087483518</v>
      </c>
      <c r="F12" s="20">
        <f>(($A12*('Operating Model'!$D$6*(1+'Operating Model'!$E$5+F$5)*(1+'Operating Model'!$F$5+F$5)*(1+'Operating Model'!$G$5+F$5)*(1+'Operating Model'!$H$5+F$5)*(1+'Operating Model'!$I$5+F$5))*'Operating Model'!$I$7-ExitDebt)/SponsorEquity)^(1/HoldYears)-1</f>
        <v>0.22272995718403443</v>
      </c>
    </row>
    <row r="13">
      <c r="A13" s="41" t="n">
        <v>10.5</v>
      </c>
      <c r="B13" s="20">
        <f>(($A13*('Operating Model'!$D$6*(1+'Operating Model'!$E$5+B$5)*(1+'Operating Model'!$F$5+B$5)*(1+'Operating Model'!$G$5+B$5)*(1+'Operating Model'!$H$5+B$5)*(1+'Operating Model'!$I$5+B$5))*'Operating Model'!$I$7-ExitDebt)/SponsorEquity)^(1/HoldYears)-1</f>
        <v>0.17660909868104135</v>
      </c>
      <c r="C13" s="20">
        <f>(($A13*('Operating Model'!$D$6*(1+'Operating Model'!$E$5+C$5)*(1+'Operating Model'!$F$5+C$5)*(1+'Operating Model'!$G$5+C$5)*(1+'Operating Model'!$H$5+C$5)*(1+'Operating Model'!$I$5+C$5))*'Operating Model'!$I$7-ExitDebt)/SponsorEquity)^(1/HoldYears)-1</f>
        <v>0.19269339587155265</v>
      </c>
      <c r="D13" s="20">
        <f>(($A13*('Operating Model'!$D$6*(1+'Operating Model'!$E$5+D$5)*(1+'Operating Model'!$F$5+D$5)*(1+'Operating Model'!$G$5+D$5)*(1+'Operating Model'!$H$5+D$5)*(1+'Operating Model'!$I$5+D$5))*'Operating Model'!$I$7-ExitDebt)/SponsorEquity)^(1/HoldYears)-1</f>
        <v>0.20850988076749322</v>
      </c>
      <c r="E13" s="20">
        <f>(($A13*('Operating Model'!$D$6*(1+'Operating Model'!$E$5+E$5)*(1+'Operating Model'!$F$5+E$5)*(1+'Operating Model'!$G$5+E$5)*(1+'Operating Model'!$H$5+E$5)*(1+'Operating Model'!$I$5+E$5))*'Operating Model'!$I$7-ExitDebt)/SponsorEquity)^(1/HoldYears)-1</f>
        <v>0.22408190588405308</v>
      </c>
      <c r="F13" s="20">
        <f>(($A13*('Operating Model'!$D$6*(1+'Operating Model'!$E$5+F$5)*(1+'Operating Model'!$F$5+F$5)*(1+'Operating Model'!$G$5+F$5)*(1+'Operating Model'!$H$5+F$5)*(1+'Operating Model'!$I$5+F$5))*'Operating Model'!$I$7-ExitDebt)/SponsorEquity)^(1/HoldYears)-1</f>
        <v>0.23943009475085586</v>
      </c>
    </row>
    <row r="14">
      <c r="A14" s="41" t="n">
        <v>11</v>
      </c>
      <c r="B14" s="20">
        <f>(($A14*('Operating Model'!$D$6*(1+'Operating Model'!$E$5+B$5)*(1+'Operating Model'!$F$5+B$5)*(1+'Operating Model'!$G$5+B$5)*(1+'Operating Model'!$H$5+B$5)*(1+'Operating Model'!$I$5+B$5))*'Operating Model'!$I$7-ExitDebt)/SponsorEquity)^(1/HoldYears)-1</f>
        <v>0.1928424661497301</v>
      </c>
      <c r="C14" s="20">
        <f>(($A14*('Operating Model'!$D$6*(1+'Operating Model'!$E$5+C$5)*(1+'Operating Model'!$F$5+C$5)*(1+'Operating Model'!$G$5+C$5)*(1+'Operating Model'!$H$5+C$5)*(1+'Operating Model'!$I$5+C$5))*'Operating Model'!$I$7-ExitDebt)/SponsorEquity)^(1/HoldYears)-1</f>
        <v>0.20880322153515118</v>
      </c>
      <c r="D14" s="20">
        <f>(($A14*('Operating Model'!$D$6*(1+'Operating Model'!$E$5+D$5)*(1+'Operating Model'!$F$5+D$5)*(1+'Operating Model'!$G$5+D$5)*(1+'Operating Model'!$H$5+D$5)*(1+'Operating Model'!$I$5+D$5))*'Operating Model'!$I$7-ExitDebt)/SponsorEquity)^(1/HoldYears)-1</f>
        <v>0.22451533704930338</v>
      </c>
      <c r="E14" s="20">
        <f>(($A14*('Operating Model'!$D$6*(1+'Operating Model'!$E$5+E$5)*(1+'Operating Model'!$F$5+E$5)*(1+'Operating Model'!$G$5+E$5)*(1+'Operating Model'!$H$5+E$5)*(1+'Operating Model'!$I$5+E$5))*'Operating Model'!$I$7-ExitDebt)/SponsorEquity)^(1/HoldYears)-1</f>
        <v>0.23999996079226005</v>
      </c>
      <c r="F14" s="20">
        <f>(($A14*('Operating Model'!$D$6*(1+'Operating Model'!$E$5+F$5)*(1+'Operating Model'!$F$5+F$5)*(1+'Operating Model'!$G$5+F$5)*(1+'Operating Model'!$H$5+F$5)*(1+'Operating Model'!$I$5+F$5))*'Operating Model'!$I$7-ExitDebt)/SponsorEquity)^(1/HoldYears)-1</f>
        <v>0.25527583919502983</v>
      </c>
    </row>
    <row r="16">
      <c r="A16" s="26" t="inlineStr">
        <is>
          <t>CHECK: base-case grid IRR - Returns IRR = 0</t>
        </is>
      </c>
      <c r="B16" s="43">
        <f>D10-Returns!B17</f>
        <v>8.881784197001252e-16</v>
      </c>
      <c r="C16" s="28" t="str">
        <f>IF(ABS(B16)&lt;0.0001,"OK","ERROR")</f>
        <v>OK</v>
      </c>
    </row>
    <row r="18">
      <c r="A18" s="4" t="inlineStr">
        <is>
          <t>SPONSOR MoIC (x) — same axes</t>
        </is>
      </c>
      <c r="B18" s="5" t="n"/>
      <c r="C18" s="5" t="n"/>
      <c r="D18" s="5" t="n"/>
      <c r="E18" s="5" t="n"/>
      <c r="F18" s="5" t="n"/>
    </row>
    <row r="19">
      <c r="A19" s="4" t="inlineStr">
        <is>
          <t>Exit multiple \ Δ growth p.a.</t>
        </is>
      </c>
      <c r="B19" s="44">
        <f>B5</f>
        <v>-0.02</v>
      </c>
      <c r="C19" s="44">
        <f>C5</f>
        <v>-0.01</v>
      </c>
      <c r="D19" s="44">
        <f>D5</f>
        <v>0.0</v>
      </c>
      <c r="E19" s="44">
        <f>E5</f>
        <v>0.01</v>
      </c>
      <c r="F19" s="44">
        <f>F5</f>
        <v>0.02</v>
      </c>
    </row>
    <row r="20">
      <c r="A20" s="45">
        <f>A6</f>
        <v>7.0</v>
      </c>
      <c r="B20" s="46">
        <f>($A20*('Operating Model'!$D$6*(1+'Operating Model'!$E$5+B$19)*(1+'Operating Model'!$F$5+B$19)*(1+'Operating Model'!$G$5+B$19)*(1+'Operating Model'!$H$5+B$19)*(1+'Operating Model'!$I$5+B$19))*'Operating Model'!$I$7-ExitDebt)/SponsorEquity</f>
        <v>1.135666121627508</v>
      </c>
      <c r="C20" s="46">
        <f>($A20*('Operating Model'!$D$6*(1+'Operating Model'!$E$5+C$19)*(1+'Operating Model'!$F$5+C$19)*(1+'Operating Model'!$G$5+C$19)*(1+'Operating Model'!$H$5+C$19)*(1+'Operating Model'!$I$5+C$19))*'Operating Model'!$I$7-ExitDebt)/SponsorEquity</f>
        <v>1.2412707435186252</v>
      </c>
      <c r="D20" s="46">
        <f>($A20*('Operating Model'!$D$6*(1+'Operating Model'!$E$5+D$19)*(1+'Operating Model'!$F$5+D$19)*(1+'Operating Model'!$G$5+D$19)*(1+'Operating Model'!$H$5+D$19)*(1+'Operating Model'!$I$5+D$19))*'Operating Model'!$I$7-ExitDebt)/SponsorEquity</f>
        <v>1.3508232017421216</v>
      </c>
      <c r="E20" s="46">
        <f>($A20*('Operating Model'!$D$6*(1+'Operating Model'!$E$5+E$19)*(1+'Operating Model'!$F$5+E$19)*(1+'Operating Model'!$G$5+E$19)*(1+'Operating Model'!$H$5+E$19)*(1+'Operating Model'!$I$5+E$19))*'Operating Model'!$I$7-ExitDebt)/SponsorEquity</f>
        <v>1.4644331584183394</v>
      </c>
      <c r="F20" s="46">
        <f>($A20*('Operating Model'!$D$6*(1+'Operating Model'!$E$5+F$19)*(1+'Operating Model'!$F$5+F$19)*(1+'Operating Model'!$G$5+F$19)*(1+'Operating Model'!$H$5+F$19)*(1+'Operating Model'!$I$5+F$19))*'Operating Model'!$I$7-ExitDebt)/SponsorEquity</f>
        <v>1.58221228781662</v>
      </c>
    </row>
    <row r="21">
      <c r="A21" s="45">
        <f>A7</f>
        <v>7.5</v>
      </c>
      <c r="B21" s="46">
        <f>($A21*('Operating Model'!$D$6*(1+'Operating Model'!$E$5+B$19)*(1+'Operating Model'!$F$5+B$19)*(1+'Operating Model'!$G$5+B$19)*(1+'Operating Model'!$H$5+B$19)*(1+'Operating Model'!$I$5+B$19))*'Operating Model'!$I$7-ExitDebt)/SponsorEquity</f>
        <v>1.2955816919197718</v>
      </c>
      <c r="C21" s="46">
        <f>($A21*('Operating Model'!$D$6*(1+'Operating Model'!$E$5+C$19)*(1+'Operating Model'!$F$5+C$19)*(1+'Operating Model'!$G$5+C$19)*(1+'Operating Model'!$H$5+C$19)*(1+'Operating Model'!$I$5+C$19))*'Operating Model'!$I$7-ExitDebt)/SponsorEquity</f>
        <v>1.408729501088826</v>
      </c>
      <c r="D21" s="46">
        <f>($A21*('Operating Model'!$D$6*(1+'Operating Model'!$E$5+D$19)*(1+'Operating Model'!$F$5+D$19)*(1+'Operating Model'!$G$5+D$19)*(1+'Operating Model'!$H$5+D$19)*(1+'Operating Model'!$I$5+D$19))*'Operating Model'!$I$7-ExitDebt)/SponsorEquity</f>
        <v>1.5261071348997144</v>
      </c>
      <c r="E21" s="46">
        <f>($A21*('Operating Model'!$D$6*(1+'Operating Model'!$E$5+E$19)*(1+'Operating Model'!$F$5+E$19)*(1+'Operating Model'!$G$5+E$19)*(1+'Operating Model'!$H$5+E$19)*(1+'Operating Model'!$I$5+E$19))*'Operating Model'!$I$7-ExitDebt)/SponsorEquity</f>
        <v>1.6478320884813764</v>
      </c>
      <c r="F21" s="46">
        <f>($A21*('Operating Model'!$D$6*(1+'Operating Model'!$E$5+F$19)*(1+'Operating Model'!$F$5+F$19)*(1+'Operating Model'!$G$5+F$19)*(1+'Operating Model'!$H$5+F$19)*(1+'Operating Model'!$I$5+F$19))*'Operating Model'!$I$7-ExitDebt)/SponsorEquity</f>
        <v>1.774024012836677</v>
      </c>
    </row>
    <row r="22">
      <c r="A22" s="45">
        <f>A8</f>
        <v>8.0</v>
      </c>
      <c r="B22" s="46">
        <f>($A22*('Operating Model'!$D$6*(1+'Operating Model'!$E$5+B$19)*(1+'Operating Model'!$F$5+B$19)*(1+'Operating Model'!$G$5+B$19)*(1+'Operating Model'!$H$5+B$19)*(1+'Operating Model'!$I$5+B$19))*'Operating Model'!$I$7-ExitDebt)/SponsorEquity</f>
        <v>1.4554972622120352</v>
      </c>
      <c r="C22" s="46">
        <f>($A22*('Operating Model'!$D$6*(1+'Operating Model'!$E$5+C$19)*(1+'Operating Model'!$F$5+C$19)*(1+'Operating Model'!$G$5+C$19)*(1+'Operating Model'!$H$5+C$19)*(1+'Operating Model'!$I$5+C$19))*'Operating Model'!$I$7-ExitDebt)/SponsorEquity</f>
        <v>1.5761882586590266</v>
      </c>
      <c r="D22" s="46">
        <f>($A22*('Operating Model'!$D$6*(1+'Operating Model'!$E$5+D$19)*(1+'Operating Model'!$F$5+D$19)*(1+'Operating Model'!$G$5+D$19)*(1+'Operating Model'!$H$5+D$19)*(1+'Operating Model'!$I$5+D$19))*'Operating Model'!$I$7-ExitDebt)/SponsorEquity</f>
        <v>1.7013910680573077</v>
      </c>
      <c r="E22" s="46">
        <f>($A22*('Operating Model'!$D$6*(1+'Operating Model'!$E$5+E$19)*(1+'Operating Model'!$F$5+E$19)*(1+'Operating Model'!$G$5+E$19)*(1+'Operating Model'!$H$5+E$19)*(1+'Operating Model'!$I$5+E$19))*'Operating Model'!$I$7-ExitDebt)/SponsorEquity</f>
        <v>1.831231018544414</v>
      </c>
      <c r="F22" s="46">
        <f>($A22*('Operating Model'!$D$6*(1+'Operating Model'!$E$5+F$19)*(1+'Operating Model'!$F$5+F$19)*(1+'Operating Model'!$G$5+F$19)*(1+'Operating Model'!$H$5+F$19)*(1+'Operating Model'!$I$5+F$19))*'Operating Model'!$I$7-ExitDebt)/SponsorEquity</f>
        <v>1.9658357378567346</v>
      </c>
    </row>
    <row r="23">
      <c r="A23" s="45">
        <f>A9</f>
        <v>8.5</v>
      </c>
      <c r="B23" s="46">
        <f>($A23*('Operating Model'!$D$6*(1+'Operating Model'!$E$5+B$19)*(1+'Operating Model'!$F$5+B$19)*(1+'Operating Model'!$G$5+B$19)*(1+'Operating Model'!$H$5+B$19)*(1+'Operating Model'!$I$5+B$19))*'Operating Model'!$I$7-ExitDebt)/SponsorEquity</f>
        <v>1.615412832504299</v>
      </c>
      <c r="C23" s="46">
        <f>($A23*('Operating Model'!$D$6*(1+'Operating Model'!$E$5+C$19)*(1+'Operating Model'!$F$5+C$19)*(1+'Operating Model'!$G$5+C$19)*(1+'Operating Model'!$H$5+C$19)*(1+'Operating Model'!$I$5+C$19))*'Operating Model'!$I$7-ExitDebt)/SponsorEquity</f>
        <v>1.7436470162292272</v>
      </c>
      <c r="D23" s="46">
        <f>($A23*('Operating Model'!$D$6*(1+'Operating Model'!$E$5+D$19)*(1+'Operating Model'!$F$5+D$19)*(1+'Operating Model'!$G$5+D$19)*(1+'Operating Model'!$H$5+D$19)*(1+'Operating Model'!$I$5+D$19))*'Operating Model'!$I$7-ExitDebt)/SponsorEquity</f>
        <v>1.8766750012149007</v>
      </c>
      <c r="E23" s="46">
        <f>($A23*('Operating Model'!$D$6*(1+'Operating Model'!$E$5+E$19)*(1+'Operating Model'!$F$5+E$19)*(1+'Operating Model'!$G$5+E$19)*(1+'Operating Model'!$H$5+E$19)*(1+'Operating Model'!$I$5+E$19))*'Operating Model'!$I$7-ExitDebt)/SponsorEquity</f>
        <v>2.0146299486074515</v>
      </c>
      <c r="F23" s="46">
        <f>($A23*('Operating Model'!$D$6*(1+'Operating Model'!$E$5+F$19)*(1+'Operating Model'!$F$5+F$19)*(1+'Operating Model'!$G$5+F$19)*(1+'Operating Model'!$H$5+F$19)*(1+'Operating Model'!$I$5+F$19))*'Operating Model'!$I$7-ExitDebt)/SponsorEquity</f>
        <v>2.1576474628767923</v>
      </c>
    </row>
    <row r="24">
      <c r="A24" s="45">
        <f>A10</f>
        <v>9.0</v>
      </c>
      <c r="B24" s="46">
        <f>($A24*('Operating Model'!$D$6*(1+'Operating Model'!$E$5+B$19)*(1+'Operating Model'!$F$5+B$19)*(1+'Operating Model'!$G$5+B$19)*(1+'Operating Model'!$H$5+B$19)*(1+'Operating Model'!$I$5+B$19))*'Operating Model'!$I$7-ExitDebt)/SponsorEquity</f>
        <v>1.7753284027965623</v>
      </c>
      <c r="C24" s="46">
        <f>($A24*('Operating Model'!$D$6*(1+'Operating Model'!$E$5+C$19)*(1+'Operating Model'!$F$5+C$19)*(1+'Operating Model'!$G$5+C$19)*(1+'Operating Model'!$H$5+C$19)*(1+'Operating Model'!$I$5+C$19))*'Operating Model'!$I$7-ExitDebt)/SponsorEquity</f>
        <v>1.9111057737994277</v>
      </c>
      <c r="D24" s="47">
        <f>($A24*('Operating Model'!$D$6*(1+'Operating Model'!$E$5+D$19)*(1+'Operating Model'!$F$5+D$19)*(1+'Operating Model'!$G$5+D$19)*(1+'Operating Model'!$H$5+D$19)*(1+'Operating Model'!$I$5+D$19))*'Operating Model'!$I$7-ExitDebt)/SponsorEquity</f>
        <v>2.0519589343724935</v>
      </c>
      <c r="E24" s="46">
        <f>($A24*('Operating Model'!$D$6*(1+'Operating Model'!$E$5+E$19)*(1+'Operating Model'!$F$5+E$19)*(1+'Operating Model'!$G$5+E$19)*(1+'Operating Model'!$H$5+E$19)*(1+'Operating Model'!$I$5+E$19))*'Operating Model'!$I$7-ExitDebt)/SponsorEquity</f>
        <v>2.1980288786704882</v>
      </c>
      <c r="F24" s="46">
        <f>($A24*('Operating Model'!$D$6*(1+'Operating Model'!$E$5+F$19)*(1+'Operating Model'!$F$5+F$19)*(1+'Operating Model'!$G$5+F$19)*(1+'Operating Model'!$H$5+F$19)*(1+'Operating Model'!$I$5+F$19))*'Operating Model'!$I$7-ExitDebt)/SponsorEquity</f>
        <v>2.3494591878968496</v>
      </c>
    </row>
    <row r="25">
      <c r="A25" s="45">
        <f>A11</f>
        <v>9.5</v>
      </c>
      <c r="B25" s="46">
        <f>($A25*('Operating Model'!$D$6*(1+'Operating Model'!$E$5+B$19)*(1+'Operating Model'!$F$5+B$19)*(1+'Operating Model'!$G$5+B$19)*(1+'Operating Model'!$H$5+B$19)*(1+'Operating Model'!$I$5+B$19))*'Operating Model'!$I$7-ExitDebt)/SponsorEquity</f>
        <v>1.9352439730888262</v>
      </c>
      <c r="C25" s="46">
        <f>($A25*('Operating Model'!$D$6*(1+'Operating Model'!$E$5+C$19)*(1+'Operating Model'!$F$5+C$19)*(1+'Operating Model'!$G$5+C$19)*(1+'Operating Model'!$H$5+C$19)*(1+'Operating Model'!$I$5+C$19))*'Operating Model'!$I$7-ExitDebt)/SponsorEquity</f>
        <v>2.078564531369629</v>
      </c>
      <c r="D25" s="46">
        <f>($A25*('Operating Model'!$D$6*(1+'Operating Model'!$E$5+D$19)*(1+'Operating Model'!$F$5+D$19)*(1+'Operating Model'!$G$5+D$19)*(1+'Operating Model'!$H$5+D$19)*(1+'Operating Model'!$I$5+D$19))*'Operating Model'!$I$7-ExitDebt)/SponsorEquity</f>
        <v>2.2272428675300873</v>
      </c>
      <c r="E25" s="46">
        <f>($A25*('Operating Model'!$D$6*(1+'Operating Model'!$E$5+E$19)*(1+'Operating Model'!$F$5+E$19)*(1+'Operating Model'!$G$5+E$19)*(1+'Operating Model'!$H$5+E$19)*(1+'Operating Model'!$I$5+E$19))*'Operating Model'!$I$7-ExitDebt)/SponsorEquity</f>
        <v>2.381427808733526</v>
      </c>
      <c r="F25" s="46">
        <f>($A25*('Operating Model'!$D$6*(1+'Operating Model'!$E$5+F$19)*(1+'Operating Model'!$F$5+F$19)*(1+'Operating Model'!$G$5+F$19)*(1+'Operating Model'!$H$5+F$19)*(1+'Operating Model'!$I$5+F$19))*'Operating Model'!$I$7-ExitDebt)/SponsorEquity</f>
        <v>2.5412709129169064</v>
      </c>
    </row>
    <row r="26">
      <c r="A26" s="45">
        <f>A12</f>
        <v>10.0</v>
      </c>
      <c r="B26" s="46">
        <f>($A26*('Operating Model'!$D$6*(1+'Operating Model'!$E$5+B$19)*(1+'Operating Model'!$F$5+B$19)*(1+'Operating Model'!$G$5+B$19)*(1+'Operating Model'!$H$5+B$19)*(1+'Operating Model'!$I$5+B$19))*'Operating Model'!$I$7-ExitDebt)/SponsorEquity</f>
        <v>2.09515954338109</v>
      </c>
      <c r="C26" s="46">
        <f>($A26*('Operating Model'!$D$6*(1+'Operating Model'!$E$5+C$19)*(1+'Operating Model'!$F$5+C$19)*(1+'Operating Model'!$G$5+C$19)*(1+'Operating Model'!$H$5+C$19)*(1+'Operating Model'!$I$5+C$19))*'Operating Model'!$I$7-ExitDebt)/SponsorEquity</f>
        <v>2.246023288939829</v>
      </c>
      <c r="D26" s="46">
        <f>($A26*('Operating Model'!$D$6*(1+'Operating Model'!$E$5+D$19)*(1+'Operating Model'!$F$5+D$19)*(1+'Operating Model'!$G$5+D$19)*(1+'Operating Model'!$H$5+D$19)*(1+'Operating Model'!$I$5+D$19))*'Operating Model'!$I$7-ExitDebt)/SponsorEquity</f>
        <v>2.40252680068768</v>
      </c>
      <c r="E26" s="46">
        <f>($A26*('Operating Model'!$D$6*(1+'Operating Model'!$E$5+E$19)*(1+'Operating Model'!$F$5+E$19)*(1+'Operating Model'!$G$5+E$19)*(1+'Operating Model'!$H$5+E$19)*(1+'Operating Model'!$I$5+E$19))*'Operating Model'!$I$7-ExitDebt)/SponsorEquity</f>
        <v>2.5648267387965635</v>
      </c>
      <c r="F26" s="46">
        <f>($A26*('Operating Model'!$D$6*(1+'Operating Model'!$E$5+F$19)*(1+'Operating Model'!$F$5+F$19)*(1+'Operating Model'!$G$5+F$19)*(1+'Operating Model'!$H$5+F$19)*(1+'Operating Model'!$I$5+F$19))*'Operating Model'!$I$7-ExitDebt)/SponsorEquity</f>
        <v>2.733082637936964</v>
      </c>
    </row>
    <row r="27">
      <c r="A27" s="45">
        <f>A13</f>
        <v>10.5</v>
      </c>
      <c r="B27" s="46">
        <f>($A27*('Operating Model'!$D$6*(1+'Operating Model'!$E$5+B$19)*(1+'Operating Model'!$F$5+B$19)*(1+'Operating Model'!$G$5+B$19)*(1+'Operating Model'!$H$5+B$19)*(1+'Operating Model'!$I$5+B$19))*'Operating Model'!$I$7-ExitDebt)/SponsorEquity</f>
        <v>2.255075113673354</v>
      </c>
      <c r="C27" s="46">
        <f>($A27*('Operating Model'!$D$6*(1+'Operating Model'!$E$5+C$19)*(1+'Operating Model'!$F$5+C$19)*(1+'Operating Model'!$G$5+C$19)*(1+'Operating Model'!$H$5+C$19)*(1+'Operating Model'!$I$5+C$19))*'Operating Model'!$I$7-ExitDebt)/SponsorEquity</f>
        <v>2.4134820465100297</v>
      </c>
      <c r="D27" s="46">
        <f>($A27*('Operating Model'!$D$6*(1+'Operating Model'!$E$5+D$19)*(1+'Operating Model'!$F$5+D$19)*(1+'Operating Model'!$G$5+D$19)*(1+'Operating Model'!$H$5+D$19)*(1+'Operating Model'!$I$5+D$19))*'Operating Model'!$I$7-ExitDebt)/SponsorEquity</f>
        <v>2.577810733845274</v>
      </c>
      <c r="E27" s="46">
        <f>($A27*('Operating Model'!$D$6*(1+'Operating Model'!$E$5+E$19)*(1+'Operating Model'!$F$5+E$19)*(1+'Operating Model'!$G$5+E$19)*(1+'Operating Model'!$H$5+E$19)*(1+'Operating Model'!$I$5+E$19))*'Operating Model'!$I$7-ExitDebt)/SponsorEquity</f>
        <v>2.7482256688596007</v>
      </c>
      <c r="F27" s="46">
        <f>($A27*('Operating Model'!$D$6*(1+'Operating Model'!$E$5+F$19)*(1+'Operating Model'!$F$5+F$19)*(1+'Operating Model'!$G$5+F$19)*(1+'Operating Model'!$H$5+F$19)*(1+'Operating Model'!$I$5+F$19))*'Operating Model'!$I$7-ExitDebt)/SponsorEquity</f>
        <v>2.9248943629570214</v>
      </c>
    </row>
    <row r="28">
      <c r="A28" s="45">
        <f>A14</f>
        <v>11.0</v>
      </c>
      <c r="B28" s="46">
        <f>($A28*('Operating Model'!$D$6*(1+'Operating Model'!$E$5+B$19)*(1+'Operating Model'!$F$5+B$19)*(1+'Operating Model'!$G$5+B$19)*(1+'Operating Model'!$H$5+B$19)*(1+'Operating Model'!$I$5+B$19))*'Operating Model'!$I$7-ExitDebt)/SponsorEquity</f>
        <v>2.414990683965617</v>
      </c>
      <c r="C28" s="46">
        <f>($A28*('Operating Model'!$D$6*(1+'Operating Model'!$E$5+C$19)*(1+'Operating Model'!$F$5+C$19)*(1+'Operating Model'!$G$5+C$19)*(1+'Operating Model'!$H$5+C$19)*(1+'Operating Model'!$I$5+C$19))*'Operating Model'!$I$7-ExitDebt)/SponsorEquity</f>
        <v>2.580940804080231</v>
      </c>
      <c r="D28" s="46">
        <f>($A28*('Operating Model'!$D$6*(1+'Operating Model'!$E$5+D$19)*(1+'Operating Model'!$F$5+D$19)*(1+'Operating Model'!$G$5+D$19)*(1+'Operating Model'!$H$5+D$19)*(1+'Operating Model'!$I$5+D$19))*'Operating Model'!$I$7-ExitDebt)/SponsorEquity</f>
        <v>2.753094667002867</v>
      </c>
      <c r="E28" s="46">
        <f>($A28*('Operating Model'!$D$6*(1+'Operating Model'!$E$5+E$19)*(1+'Operating Model'!$F$5+E$19)*(1+'Operating Model'!$G$5+E$19)*(1+'Operating Model'!$H$5+E$19)*(1+'Operating Model'!$I$5+E$19))*'Operating Model'!$I$7-ExitDebt)/SponsorEquity</f>
        <v>2.9316245989226384</v>
      </c>
      <c r="F28" s="46">
        <f>($A28*('Operating Model'!$D$6*(1+'Operating Model'!$E$5+F$19)*(1+'Operating Model'!$F$5+F$19)*(1+'Operating Model'!$G$5+F$19)*(1+'Operating Model'!$H$5+F$19)*(1+'Operating Model'!$I$5+F$19))*'Operating Model'!$I$7-ExitDebt)/SponsorEquity</f>
        <v>3.116706087977079</v>
      </c>
    </row>
    <row r="30">
      <c r="A30" s="26" t="inlineStr">
        <is>
          <t>CHECK: base-case grid MoIC - Returns MoIC = 0</t>
        </is>
      </c>
      <c r="B30" s="43">
        <f>D24-Returns!B18</f>
        <v>0.0</v>
      </c>
      <c r="C30" s="28" t="str">
        <f>IF(ABS(B30)&lt;0.0001,"OK","ERROR")</f>
        <v>OK</v>
      </c>
    </row>
    <row r="32">
      <c r="A32" s="2" t="inlineStr">
        <is>
          <t>Method: single equity outflow at close and single inflow at exit -&gt; IRR = MoIC^(1/hold)-1 exactly. Each cell recomputes the Year-5 revenue path with a uniform growth shift; bullet debt (192.5) and the 174.5 sponsor cheque are held constant via named ranges.</t>
        </is>
      </c>
    </row>
  </sheetData>
  <hyperlinks>
    <hyperlink ref="B2" location="'Assumptions'!A1" display="Assumptions"/>
    <hyperlink ref="C2" location="'Sources &amp; Uses'!A1" display="Sources &amp; Uses"/>
    <hyperlink ref="D2" location="'Operating Model'!A1" display="Operating Model"/>
    <hyperlink ref="E2" location="'Debt Schedule'!A1" display="Debt Schedule"/>
    <hyperlink ref="F2" location="'Returns'!A1" display="Returns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2026-06-12T15:24:15Z</dcterms:created>
  <dcterms:modified xmlns:dcterms="http://purl.org/dc/terms/" xmlns:xsi="http://www.w3.org/2001/XMLSchema-instance" xsi:type="dcterms:W3CDTF">2026-06-12T15:24:15Z</dcterms:modified>
</cp:coreProperties>
</file>