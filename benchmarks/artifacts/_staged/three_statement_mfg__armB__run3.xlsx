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Outputs" sheetId="2" state="visible" r:id="rId2"/>
  </sheets>
  <definedNames>
    <definedName name="_xlnm.Print_Area" localSheetId="0">'Model'!$A$1:$I$95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;(#,##0.0)"/>
    <numFmt numFmtId="166" formatCode="0.0000;(0.0000)"/>
    <numFmt numFmtId="167" formatCode="#,##0.00;(#,##0.00)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i val="1"/>
      <color rgb="00808080"/>
      <sz val="9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b val="1"/>
      <color rgb="000000FF"/>
      <sz val="10"/>
    </font>
    <font>
      <name val="Calibri"/>
      <b val="1"/>
      <i val="1"/>
      <color rgb="00404040"/>
      <sz val="10"/>
    </font>
    <font>
      <name val="Calibr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6" fillId="0" borderId="0" applyAlignment="1" pivotButton="0" quotePrefix="0" xfId="0">
      <alignment indent="1"/>
    </xf>
    <xf numFmtId="164" fontId="6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0" fontId="8" fillId="0" borderId="0" pivotButton="0" quotePrefix="0" xfId="0"/>
    <xf numFmtId="165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0" fontId="4" fillId="0" borderId="0" applyAlignment="1" pivotButton="0" quotePrefix="0" xfId="0">
      <alignment indent="1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applyAlignment="1" pivotButton="0" quotePrefix="0" xfId="0">
      <alignment indent="1"/>
    </xf>
    <xf numFmtId="165" fontId="9" fillId="0" borderId="1" applyAlignment="1" pivotButton="0" quotePrefix="0" xfId="0">
      <alignment horizontal="right"/>
    </xf>
    <xf numFmtId="165" fontId="9" fillId="0" borderId="2" applyAlignment="1" pivotButton="0" quotePrefix="0" xfId="0">
      <alignment horizontal="right"/>
    </xf>
    <xf numFmtId="0" fontId="8" fillId="4" borderId="0" pivotButton="0" quotePrefix="0" xfId="0"/>
    <xf numFmtId="166" fontId="8" fillId="4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66" fontId="1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MfgCo — Integrated 3-Statement Model  (Deal Brief BM-3S-001)</t>
        </is>
      </c>
    </row>
    <row r="2">
      <c r="A2" s="2" t="inlineStr">
        <is>
          <t>USD millions unless stated  ·  365-day year  ·  Synthetic benchmark — MfgCo is fictional  ·  Blue = input, Black = formula, Green = cross-sheet link</t>
        </is>
      </c>
    </row>
    <row r="4">
      <c r="A4" s="3" t="inlineStr">
        <is>
          <t>Fiscal year</t>
        </is>
      </c>
      <c r="B4" s="4" t="inlineStr">
        <is>
          <t>FY0</t>
        </is>
      </c>
      <c r="C4" s="4" t="inlineStr">
        <is>
          <t>FY1</t>
        </is>
      </c>
      <c r="D4" s="4" t="inlineStr">
        <is>
          <t>FY2</t>
        </is>
      </c>
      <c r="E4" s="4" t="inlineStr">
        <is>
          <t>FY3</t>
        </is>
      </c>
      <c r="F4" s="4" t="inlineStr">
        <is>
          <t>FY4</t>
        </is>
      </c>
      <c r="G4" s="4" t="inlineStr">
        <is>
          <t>FY5</t>
        </is>
      </c>
      <c r="H4" s="4" t="inlineStr">
        <is>
          <t>FY6</t>
        </is>
      </c>
      <c r="I4" s="4" t="inlineStr">
        <is>
          <t>FY7</t>
        </is>
      </c>
    </row>
    <row r="5">
      <c r="A5" s="5" t="inlineStr">
        <is>
          <t>Phase  (t = 0..7)</t>
        </is>
      </c>
      <c r="B5" s="6" t="inlineStr">
        <is>
          <t>Historical</t>
        </is>
      </c>
      <c r="C5" s="6" t="inlineStr">
        <is>
          <t>Historical</t>
        </is>
      </c>
      <c r="D5" s="6" t="inlineStr">
        <is>
          <t>Historical</t>
        </is>
      </c>
      <c r="E5" s="6" t="inlineStr">
        <is>
          <t>Projection</t>
        </is>
      </c>
      <c r="F5" s="6" t="inlineStr">
        <is>
          <t>Projection</t>
        </is>
      </c>
      <c r="G5" s="6" t="inlineStr">
        <is>
          <t>Projection</t>
        </is>
      </c>
      <c r="H5" s="6" t="inlineStr">
        <is>
          <t>Projection</t>
        </is>
      </c>
      <c r="I5" s="6" t="inlineStr">
        <is>
          <t>Projection</t>
        </is>
      </c>
    </row>
    <row r="7">
      <c r="A7" s="7" t="inlineStr">
        <is>
          <t>ASSUMPTIONS &amp; DRIVERS</t>
        </is>
      </c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9" t="inlineStr">
        <is>
          <t>Revenue growth (% YoY)</t>
        </is>
      </c>
      <c r="C8" s="10">
        <f>C23/B23-1</f>
        <v/>
      </c>
      <c r="D8" s="10">
        <f>D23/C23-1</f>
        <v/>
      </c>
      <c r="E8" s="11" t="n">
        <v>0.05</v>
      </c>
      <c r="F8" s="11" t="n">
        <v>0.045</v>
      </c>
      <c r="G8" s="11" t="n">
        <v>0.04</v>
      </c>
      <c r="H8" s="11" t="n">
        <v>0.035</v>
      </c>
      <c r="I8" s="11" t="n">
        <v>0.03</v>
      </c>
    </row>
    <row r="9">
      <c r="A9" s="9" t="inlineStr">
        <is>
          <t>EBITDA margin (%)</t>
        </is>
      </c>
      <c r="B9" s="10">
        <f>B24/B23</f>
        <v/>
      </c>
      <c r="C9" s="10">
        <f>C24/C23</f>
        <v/>
      </c>
      <c r="D9" s="10">
        <f>D24/D23</f>
        <v/>
      </c>
      <c r="E9" s="11" t="n">
        <v>0.14</v>
      </c>
      <c r="F9" s="11" t="n">
        <v>0.145</v>
      </c>
      <c r="G9" s="11" t="n">
        <v>0.15</v>
      </c>
      <c r="H9" s="11" t="n">
        <v>0.15</v>
      </c>
      <c r="I9" s="11" t="n">
        <v>0.15</v>
      </c>
    </row>
    <row r="11">
      <c r="A11" s="9" t="inlineStr">
        <is>
          <t>D&amp;A (% of revenue)</t>
        </is>
      </c>
      <c r="B11" s="11" t="n">
        <v>0.055</v>
      </c>
      <c r="C11" s="5" t="inlineStr">
        <is>
          <t>All years t = 0..7</t>
        </is>
      </c>
    </row>
    <row r="12">
      <c r="A12" s="9" t="inlineStr">
        <is>
          <t>Capex (% of revenue)</t>
        </is>
      </c>
      <c r="B12" s="11" t="n">
        <v>0.06</v>
      </c>
      <c r="C12" s="5" t="inlineStr">
        <is>
          <t>All years t = 0..7</t>
        </is>
      </c>
    </row>
    <row r="13">
      <c r="A13" s="9" t="inlineStr">
        <is>
          <t>Interest rate on debt</t>
        </is>
      </c>
      <c r="B13" s="11" t="n">
        <v>0.06</v>
      </c>
      <c r="C13" s="5" t="inlineStr">
        <is>
          <t>On opening debt balance; t=0 charged on the t=0 balance</t>
        </is>
      </c>
    </row>
    <row r="14">
      <c r="A14" s="9" t="inlineStr">
        <is>
          <t>Tax rate</t>
        </is>
      </c>
      <c r="B14" s="11" t="n">
        <v>0.25</v>
      </c>
      <c r="C14" s="5" t="inlineStr">
        <is>
          <t>On positive EBT only</t>
        </is>
      </c>
    </row>
    <row r="15">
      <c r="A15" s="9" t="inlineStr">
        <is>
          <t>Receivable days (DSO)</t>
        </is>
      </c>
      <c r="B15" s="12" t="n">
        <v>55</v>
      </c>
      <c r="C15" s="5" t="inlineStr">
        <is>
          <t>AR = Revenue x DSO/365, from t=1 onward</t>
        </is>
      </c>
    </row>
    <row r="16">
      <c r="A16" s="9" t="inlineStr">
        <is>
          <t>Inventory days (DIO, on revenue)</t>
        </is>
      </c>
      <c r="B16" s="12" t="n">
        <v>60</v>
      </c>
      <c r="C16" s="5" t="inlineStr">
        <is>
          <t>Inventory = Revenue x DIO/365, from t=1 (stated simplification)</t>
        </is>
      </c>
    </row>
    <row r="17">
      <c r="A17" s="9" t="inlineStr">
        <is>
          <t>Payable days (DPO, on revenue)</t>
        </is>
      </c>
      <c r="B17" s="12" t="n">
        <v>40</v>
      </c>
      <c r="C17" s="5" t="inlineStr">
        <is>
          <t>AP = Revenue x DPO/365, from t=1 (stated simplification)</t>
        </is>
      </c>
    </row>
    <row r="18">
      <c r="A18" s="9" t="inlineStr">
        <is>
          <t>Dividend payout (% of positive NI)</t>
        </is>
      </c>
      <c r="B18" s="11" t="n">
        <v>0.3</v>
      </c>
      <c r="C18" s="5" t="inlineStr">
        <is>
          <t>Financing outflow in CFS</t>
        </is>
      </c>
    </row>
    <row r="19">
      <c r="A19" s="9" t="inlineStr">
        <is>
          <t>Scheduled debt amortization ($m / yr)</t>
        </is>
      </c>
      <c r="B19" s="13" t="n">
        <v>20</v>
      </c>
      <c r="C19" s="5" t="inlineStr">
        <is>
          <t>Floored at 0; financing outflow in CFS</t>
        </is>
      </c>
    </row>
    <row r="20">
      <c r="A20" s="9" t="inlineStr">
        <is>
          <t>Days in year</t>
        </is>
      </c>
      <c r="B20" s="12" t="n">
        <v>365</v>
      </c>
    </row>
    <row r="22">
      <c r="A22" s="7" t="inlineStr">
        <is>
          <t>INCOME STATEMENT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14" t="inlineStr">
        <is>
          <t>Revenue</t>
        </is>
      </c>
      <c r="B23" s="15" t="n">
        <v>540</v>
      </c>
      <c r="C23" s="15" t="n">
        <v>570</v>
      </c>
      <c r="D23" s="15" t="n">
        <v>600</v>
      </c>
      <c r="E23" s="16">
        <f>D23*(1+E8)</f>
        <v/>
      </c>
      <c r="F23" s="16">
        <f>E23*(1+F8)</f>
        <v/>
      </c>
      <c r="G23" s="16">
        <f>F23*(1+G8)</f>
        <v/>
      </c>
      <c r="H23" s="16">
        <f>G23*(1+H8)</f>
        <v/>
      </c>
      <c r="I23" s="16">
        <f>H23*(1+I8)</f>
        <v/>
      </c>
    </row>
    <row r="24">
      <c r="A24" s="14" t="inlineStr">
        <is>
          <t>EBITDA</t>
        </is>
      </c>
      <c r="B24" s="15" t="n">
        <v>70.2</v>
      </c>
      <c r="C24" s="15" t="n">
        <v>76.95</v>
      </c>
      <c r="D24" s="15" t="n">
        <v>84</v>
      </c>
      <c r="E24" s="16">
        <f>E23*E9</f>
        <v/>
      </c>
      <c r="F24" s="16">
        <f>F23*F9</f>
        <v/>
      </c>
      <c r="G24" s="16">
        <f>G23*G9</f>
        <v/>
      </c>
      <c r="H24" s="16">
        <f>H23*H9</f>
        <v/>
      </c>
      <c r="I24" s="16">
        <f>I23*I9</f>
        <v/>
      </c>
    </row>
    <row r="25">
      <c r="A25" s="9" t="inlineStr">
        <is>
          <t>Less: D&amp;A (5.5% of revenue)</t>
        </is>
      </c>
      <c r="B25" s="17">
        <f>B23*$B$11</f>
        <v/>
      </c>
      <c r="C25" s="17">
        <f>C23*$B$11</f>
        <v/>
      </c>
      <c r="D25" s="17">
        <f>D23*$B$11</f>
        <v/>
      </c>
      <c r="E25" s="17">
        <f>E23*$B$11</f>
        <v/>
      </c>
      <c r="F25" s="17">
        <f>F23*$B$11</f>
        <v/>
      </c>
      <c r="G25" s="17">
        <f>G23*$B$11</f>
        <v/>
      </c>
      <c r="H25" s="17">
        <f>H23*$B$11</f>
        <v/>
      </c>
      <c r="I25" s="17">
        <f>I23*$B$11</f>
        <v/>
      </c>
    </row>
    <row r="26">
      <c r="A26" s="14" t="inlineStr">
        <is>
          <t>EBIT</t>
        </is>
      </c>
      <c r="B26" s="18">
        <f>B24-B25</f>
        <v/>
      </c>
      <c r="C26" s="18">
        <f>C24-C25</f>
        <v/>
      </c>
      <c r="D26" s="18">
        <f>D24-D25</f>
        <v/>
      </c>
      <c r="E26" s="18">
        <f>E24-E25</f>
        <v/>
      </c>
      <c r="F26" s="18">
        <f>F24-F25</f>
        <v/>
      </c>
      <c r="G26" s="18">
        <f>G24-G25</f>
        <v/>
      </c>
      <c r="H26" s="18">
        <f>H24-H25</f>
        <v/>
      </c>
      <c r="I26" s="18">
        <f>I24-I25</f>
        <v/>
      </c>
    </row>
    <row r="27">
      <c r="A27" s="9" t="inlineStr">
        <is>
          <t>Less: Interest expense (6.0% on opening debt)</t>
        </is>
      </c>
      <c r="B27" s="17">
        <f>$B$13*B51</f>
        <v/>
      </c>
      <c r="C27" s="17">
        <f>$B$13*B51</f>
        <v/>
      </c>
      <c r="D27" s="17">
        <f>$B$13*C51</f>
        <v/>
      </c>
      <c r="E27" s="17">
        <f>$B$13*D51</f>
        <v/>
      </c>
      <c r="F27" s="17">
        <f>$B$13*E51</f>
        <v/>
      </c>
      <c r="G27" s="17">
        <f>$B$13*F51</f>
        <v/>
      </c>
      <c r="H27" s="17">
        <f>$B$13*G51</f>
        <v/>
      </c>
      <c r="I27" s="17">
        <f>$B$13*H51</f>
        <v/>
      </c>
    </row>
    <row r="28">
      <c r="A28" s="14" t="inlineStr">
        <is>
          <t>EBT (pre-tax income)</t>
        </is>
      </c>
      <c r="B28" s="18">
        <f>B26-B27</f>
        <v/>
      </c>
      <c r="C28" s="18">
        <f>C26-C27</f>
        <v/>
      </c>
      <c r="D28" s="18">
        <f>D26-D27</f>
        <v/>
      </c>
      <c r="E28" s="18">
        <f>E26-E27</f>
        <v/>
      </c>
      <c r="F28" s="18">
        <f>F26-F27</f>
        <v/>
      </c>
      <c r="G28" s="18">
        <f>G26-G27</f>
        <v/>
      </c>
      <c r="H28" s="18">
        <f>H26-H27</f>
        <v/>
      </c>
      <c r="I28" s="18">
        <f>I26-I27</f>
        <v/>
      </c>
    </row>
    <row r="29">
      <c r="A29" s="9" t="inlineStr">
        <is>
          <t>Less: Taxes (25% of positive EBT)</t>
        </is>
      </c>
      <c r="B29" s="17">
        <f>MAX(0,B28)*$B$14</f>
        <v/>
      </c>
      <c r="C29" s="17">
        <f>MAX(0,C28)*$B$14</f>
        <v/>
      </c>
      <c r="D29" s="17">
        <f>MAX(0,D28)*$B$14</f>
        <v/>
      </c>
      <c r="E29" s="17">
        <f>MAX(0,E28)*$B$14</f>
        <v/>
      </c>
      <c r="F29" s="17">
        <f>MAX(0,F28)*$B$14</f>
        <v/>
      </c>
      <c r="G29" s="17">
        <f>MAX(0,G28)*$B$14</f>
        <v/>
      </c>
      <c r="H29" s="17">
        <f>MAX(0,H28)*$B$14</f>
        <v/>
      </c>
      <c r="I29" s="17">
        <f>MAX(0,I28)*$B$14</f>
        <v/>
      </c>
    </row>
    <row r="30">
      <c r="A30" s="14" t="inlineStr">
        <is>
          <t>Net income</t>
        </is>
      </c>
      <c r="B30" s="19">
        <f>B28-B29</f>
        <v/>
      </c>
      <c r="C30" s="19">
        <f>C28-C29</f>
        <v/>
      </c>
      <c r="D30" s="19">
        <f>D28-D29</f>
        <v/>
      </c>
      <c r="E30" s="19">
        <f>E28-E29</f>
        <v/>
      </c>
      <c r="F30" s="19">
        <f>F28-F29</f>
        <v/>
      </c>
      <c r="G30" s="19">
        <f>G28-G29</f>
        <v/>
      </c>
      <c r="H30" s="19">
        <f>H28-H29</f>
        <v/>
      </c>
      <c r="I30" s="19">
        <f>I28-I29</f>
        <v/>
      </c>
    </row>
    <row r="31">
      <c r="A31" s="20" t="inlineStr">
        <is>
          <t>memo: Net margin (%)</t>
        </is>
      </c>
      <c r="B31" s="21">
        <f>B30/B23</f>
        <v/>
      </c>
      <c r="C31" s="21">
        <f>C30/C23</f>
        <v/>
      </c>
      <c r="D31" s="21">
        <f>D30/D23</f>
        <v/>
      </c>
      <c r="E31" s="21">
        <f>E30/E23</f>
        <v/>
      </c>
      <c r="F31" s="21">
        <f>F30/F23</f>
        <v/>
      </c>
      <c r="G31" s="21">
        <f>G30/G23</f>
        <v/>
      </c>
      <c r="H31" s="21">
        <f>H30/H23</f>
        <v/>
      </c>
      <c r="I31" s="21">
        <f>I30/I23</f>
        <v/>
      </c>
    </row>
    <row r="32">
      <c r="A32" s="20" t="inlineStr">
        <is>
          <t>memo: Dividends declared (30% of positive NI)</t>
        </is>
      </c>
      <c r="B32" s="22">
        <f>$B$18*MAX(0,B30)</f>
        <v/>
      </c>
      <c r="C32" s="22">
        <f>$B$18*MAX(0,C30)</f>
        <v/>
      </c>
      <c r="D32" s="22">
        <f>$B$18*MAX(0,D30)</f>
        <v/>
      </c>
      <c r="E32" s="22">
        <f>$B$18*MAX(0,E30)</f>
        <v/>
      </c>
      <c r="F32" s="22">
        <f>$B$18*MAX(0,F30)</f>
        <v/>
      </c>
      <c r="G32" s="22">
        <f>$B$18*MAX(0,G30)</f>
        <v/>
      </c>
      <c r="H32" s="22">
        <f>$B$18*MAX(0,H30)</f>
        <v/>
      </c>
      <c r="I32" s="22">
        <f>$B$18*MAX(0,I30)</f>
        <v/>
      </c>
    </row>
    <row r="34">
      <c r="A34" s="7" t="inlineStr">
        <is>
          <t>SUPPORTING SCHEDULES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23" t="inlineStr">
        <is>
          <t>Working capital  (days-driven from t = 1; t = 0 anchored to opening balance sheet)</t>
        </is>
      </c>
    </row>
    <row r="36">
      <c r="A36" s="9" t="inlineStr">
        <is>
          <t>Accounts receivable (DSO 55)</t>
        </is>
      </c>
      <c r="B36" s="13" t="n">
        <v>90</v>
      </c>
      <c r="C36" s="17">
        <f>C23*$B$15/$B$20</f>
        <v/>
      </c>
      <c r="D36" s="17">
        <f>D23*$B$15/$B$20</f>
        <v/>
      </c>
      <c r="E36" s="17">
        <f>E23*$B$15/$B$20</f>
        <v/>
      </c>
      <c r="F36" s="17">
        <f>F23*$B$15/$B$20</f>
        <v/>
      </c>
      <c r="G36" s="17">
        <f>G23*$B$15/$B$20</f>
        <v/>
      </c>
      <c r="H36" s="17">
        <f>H23*$B$15/$B$20</f>
        <v/>
      </c>
      <c r="I36" s="17">
        <f>I23*$B$15/$B$20</f>
        <v/>
      </c>
    </row>
    <row r="37">
      <c r="A37" s="9" t="inlineStr">
        <is>
          <t>Inventory (DIO 60, on revenue)</t>
        </is>
      </c>
      <c r="B37" s="13" t="n">
        <v>75</v>
      </c>
      <c r="C37" s="17">
        <f>C23*$B$16/$B$20</f>
        <v/>
      </c>
      <c r="D37" s="17">
        <f>D23*$B$16/$B$20</f>
        <v/>
      </c>
      <c r="E37" s="17">
        <f>E23*$B$16/$B$20</f>
        <v/>
      </c>
      <c r="F37" s="17">
        <f>F23*$B$16/$B$20</f>
        <v/>
      </c>
      <c r="G37" s="17">
        <f>G23*$B$16/$B$20</f>
        <v/>
      </c>
      <c r="H37" s="17">
        <f>H23*$B$16/$B$20</f>
        <v/>
      </c>
      <c r="I37" s="17">
        <f>I23*$B$16/$B$20</f>
        <v/>
      </c>
    </row>
    <row r="38">
      <c r="A38" s="9" t="inlineStr">
        <is>
          <t>Accounts payable (DPO 40, on revenue)</t>
        </is>
      </c>
      <c r="B38" s="13" t="n">
        <v>55</v>
      </c>
      <c r="C38" s="17">
        <f>C23*$B$17/$B$20</f>
        <v/>
      </c>
      <c r="D38" s="17">
        <f>D23*$B$17/$B$20</f>
        <v/>
      </c>
      <c r="E38" s="17">
        <f>E23*$B$17/$B$20</f>
        <v/>
      </c>
      <c r="F38" s="17">
        <f>F23*$B$17/$B$20</f>
        <v/>
      </c>
      <c r="G38" s="17">
        <f>G23*$B$17/$B$20</f>
        <v/>
      </c>
      <c r="H38" s="17">
        <f>H23*$B$17/$B$20</f>
        <v/>
      </c>
      <c r="I38" s="17">
        <f>I23*$B$17/$B$20</f>
        <v/>
      </c>
    </row>
    <row r="39">
      <c r="A39" s="24" t="inlineStr">
        <is>
          <t>Net working capital (AR + Inv - AP)</t>
        </is>
      </c>
      <c r="B39" s="18">
        <f>B36+B37-B38</f>
        <v/>
      </c>
      <c r="C39" s="18">
        <f>C36+C37-C38</f>
        <v/>
      </c>
      <c r="D39" s="18">
        <f>D36+D37-D38</f>
        <v/>
      </c>
      <c r="E39" s="18">
        <f>E36+E37-E38</f>
        <v/>
      </c>
      <c r="F39" s="18">
        <f>F36+F37-F38</f>
        <v/>
      </c>
      <c r="G39" s="18">
        <f>G36+G37-G38</f>
        <v/>
      </c>
      <c r="H39" s="18">
        <f>H36+H37-H38</f>
        <v/>
      </c>
      <c r="I39" s="18">
        <f>I36+I37-I38</f>
        <v/>
      </c>
    </row>
    <row r="40">
      <c r="A40" s="9" t="inlineStr">
        <is>
          <t>Increase / (decrease) in NWC</t>
        </is>
      </c>
      <c r="C40" s="17">
        <f>C39-B39</f>
        <v/>
      </c>
      <c r="D40" s="17">
        <f>D39-C39</f>
        <v/>
      </c>
      <c r="E40" s="17">
        <f>E39-D39</f>
        <v/>
      </c>
      <c r="F40" s="17">
        <f>F39-E39</f>
        <v/>
      </c>
      <c r="G40" s="17">
        <f>G39-F39</f>
        <v/>
      </c>
      <c r="H40" s="17">
        <f>H39-G39</f>
        <v/>
      </c>
      <c r="I40" s="17">
        <f>I39-H39</f>
        <v/>
      </c>
    </row>
    <row r="42">
      <c r="A42" s="23" t="inlineStr">
        <is>
          <t>Net PP&amp;E roll-forward  (PPE_t = PPE_t-1 + capex_t - D&amp;A_t, from t = 1)</t>
        </is>
      </c>
    </row>
    <row r="43">
      <c r="A43" s="9" t="inlineStr">
        <is>
          <t>Opening net PP&amp;E</t>
        </is>
      </c>
      <c r="C43" s="17">
        <f>B46</f>
        <v/>
      </c>
      <c r="D43" s="17">
        <f>C46</f>
        <v/>
      </c>
      <c r="E43" s="17">
        <f>D46</f>
        <v/>
      </c>
      <c r="F43" s="17">
        <f>E46</f>
        <v/>
      </c>
      <c r="G43" s="17">
        <f>F46</f>
        <v/>
      </c>
      <c r="H43" s="17">
        <f>G46</f>
        <v/>
      </c>
      <c r="I43" s="17">
        <f>H46</f>
        <v/>
      </c>
    </row>
    <row r="44">
      <c r="A44" s="9" t="inlineStr">
        <is>
          <t>Plus: Capex (6.0% of revenue)</t>
        </is>
      </c>
      <c r="B44" s="17">
        <f>B23*$B$12</f>
        <v/>
      </c>
      <c r="C44" s="17">
        <f>C23*$B$12</f>
        <v/>
      </c>
      <c r="D44" s="17">
        <f>D23*$B$12</f>
        <v/>
      </c>
      <c r="E44" s="17">
        <f>E23*$B$12</f>
        <v/>
      </c>
      <c r="F44" s="17">
        <f>F23*$B$12</f>
        <v/>
      </c>
      <c r="G44" s="17">
        <f>G23*$B$12</f>
        <v/>
      </c>
      <c r="H44" s="17">
        <f>H23*$B$12</f>
        <v/>
      </c>
      <c r="I44" s="17">
        <f>I23*$B$12</f>
        <v/>
      </c>
    </row>
    <row r="45">
      <c r="A45" s="9" t="inlineStr">
        <is>
          <t>Less: D&amp;A</t>
        </is>
      </c>
      <c r="B45" s="17">
        <f>B25</f>
        <v/>
      </c>
      <c r="C45" s="17">
        <f>C25</f>
        <v/>
      </c>
      <c r="D45" s="17">
        <f>D25</f>
        <v/>
      </c>
      <c r="E45" s="17">
        <f>E25</f>
        <v/>
      </c>
      <c r="F45" s="17">
        <f>F25</f>
        <v/>
      </c>
      <c r="G45" s="17">
        <f>G25</f>
        <v/>
      </c>
      <c r="H45" s="17">
        <f>H25</f>
        <v/>
      </c>
      <c r="I45" s="17">
        <f>I25</f>
        <v/>
      </c>
    </row>
    <row r="46">
      <c r="A46" s="24" t="inlineStr">
        <is>
          <t>Closing net PP&amp;E</t>
        </is>
      </c>
      <c r="B46" s="25" t="n">
        <v>250</v>
      </c>
      <c r="C46" s="18">
        <f>C43+C44-C45</f>
        <v/>
      </c>
      <c r="D46" s="18">
        <f>D43+D44-D45</f>
        <v/>
      </c>
      <c r="E46" s="18">
        <f>E43+E44-E45</f>
        <v/>
      </c>
      <c r="F46" s="18">
        <f>F43+F44-F45</f>
        <v/>
      </c>
      <c r="G46" s="18">
        <f>G43+G44-G45</f>
        <v/>
      </c>
      <c r="H46" s="18">
        <f>H43+H44-H45</f>
        <v/>
      </c>
      <c r="I46" s="18">
        <f>I43+I44-I45</f>
        <v/>
      </c>
    </row>
    <row r="48">
      <c r="A48" s="23" t="inlineStr">
        <is>
          <t>Debt schedule  (debt_t = max(debt_t-1 - 20.0, 0); scheduled amortization)</t>
        </is>
      </c>
    </row>
    <row r="49">
      <c r="A49" s="9" t="inlineStr">
        <is>
          <t>Opening debt</t>
        </is>
      </c>
      <c r="C49" s="17">
        <f>B51</f>
        <v/>
      </c>
      <c r="D49" s="17">
        <f>C51</f>
        <v/>
      </c>
      <c r="E49" s="17">
        <f>D51</f>
        <v/>
      </c>
      <c r="F49" s="17">
        <f>E51</f>
        <v/>
      </c>
      <c r="G49" s="17">
        <f>F51</f>
        <v/>
      </c>
      <c r="H49" s="17">
        <f>G51</f>
        <v/>
      </c>
      <c r="I49" s="17">
        <f>H51</f>
        <v/>
      </c>
    </row>
    <row r="50">
      <c r="A50" s="9" t="inlineStr">
        <is>
          <t>Less: Scheduled repayment (min of 20.0 and opening)</t>
        </is>
      </c>
      <c r="C50" s="17">
        <f>MIN($B$19,C49)</f>
        <v/>
      </c>
      <c r="D50" s="17">
        <f>MIN($B$19,D49)</f>
        <v/>
      </c>
      <c r="E50" s="17">
        <f>MIN($B$19,E49)</f>
        <v/>
      </c>
      <c r="F50" s="17">
        <f>MIN($B$19,F49)</f>
        <v/>
      </c>
      <c r="G50" s="17">
        <f>MIN($B$19,G49)</f>
        <v/>
      </c>
      <c r="H50" s="17">
        <f>MIN($B$19,H49)</f>
        <v/>
      </c>
      <c r="I50" s="17">
        <f>MIN($B$19,I49)</f>
        <v/>
      </c>
    </row>
    <row r="51">
      <c r="A51" s="24" t="inlineStr">
        <is>
          <t>Closing debt</t>
        </is>
      </c>
      <c r="B51" s="25" t="n">
        <v>180</v>
      </c>
      <c r="C51" s="18">
        <f>C49-C50</f>
        <v/>
      </c>
      <c r="D51" s="18">
        <f>D49-D50</f>
        <v/>
      </c>
      <c r="E51" s="18">
        <f>E49-E50</f>
        <v/>
      </c>
      <c r="F51" s="18">
        <f>F49-F50</f>
        <v/>
      </c>
      <c r="G51" s="18">
        <f>G49-G50</f>
        <v/>
      </c>
      <c r="H51" s="18">
        <f>H49-H50</f>
        <v/>
      </c>
      <c r="I51" s="18">
        <f>I49-I50</f>
        <v/>
      </c>
    </row>
    <row r="53">
      <c r="A53" s="23" t="inlineStr">
        <is>
          <t>Equity roll-forward  (equity_t = equity_t-1 + NI_t - dividends_t, from t = 1)</t>
        </is>
      </c>
    </row>
    <row r="54">
      <c r="A54" s="9" t="inlineStr">
        <is>
          <t>Opening equity</t>
        </is>
      </c>
      <c r="C54" s="17">
        <f>B57</f>
        <v/>
      </c>
      <c r="D54" s="17">
        <f>C57</f>
        <v/>
      </c>
      <c r="E54" s="17">
        <f>D57</f>
        <v/>
      </c>
      <c r="F54" s="17">
        <f>E57</f>
        <v/>
      </c>
      <c r="G54" s="17">
        <f>F57</f>
        <v/>
      </c>
      <c r="H54" s="17">
        <f>G57</f>
        <v/>
      </c>
      <c r="I54" s="17">
        <f>H57</f>
        <v/>
      </c>
    </row>
    <row r="55">
      <c r="A55" s="9" t="inlineStr">
        <is>
          <t>Plus: Net income</t>
        </is>
      </c>
      <c r="C55" s="17">
        <f>C30</f>
        <v/>
      </c>
      <c r="D55" s="17">
        <f>D30</f>
        <v/>
      </c>
      <c r="E55" s="17">
        <f>E30</f>
        <v/>
      </c>
      <c r="F55" s="17">
        <f>F30</f>
        <v/>
      </c>
      <c r="G55" s="17">
        <f>G30</f>
        <v/>
      </c>
      <c r="H55" s="17">
        <f>H30</f>
        <v/>
      </c>
      <c r="I55" s="17">
        <f>I30</f>
        <v/>
      </c>
    </row>
    <row r="56">
      <c r="A56" s="9" t="inlineStr">
        <is>
          <t>Less: Dividends</t>
        </is>
      </c>
      <c r="C56" s="17">
        <f>C32</f>
        <v/>
      </c>
      <c r="D56" s="17">
        <f>D32</f>
        <v/>
      </c>
      <c r="E56" s="17">
        <f>E32</f>
        <v/>
      </c>
      <c r="F56" s="17">
        <f>F32</f>
        <v/>
      </c>
      <c r="G56" s="17">
        <f>G32</f>
        <v/>
      </c>
      <c r="H56" s="17">
        <f>H32</f>
        <v/>
      </c>
      <c r="I56" s="17">
        <f>I32</f>
        <v/>
      </c>
    </row>
    <row r="57">
      <c r="A57" s="24" t="inlineStr">
        <is>
          <t>Closing equity</t>
        </is>
      </c>
      <c r="B57" s="25" t="n">
        <v>220</v>
      </c>
      <c r="C57" s="18">
        <f>C54+C55-C56</f>
        <v/>
      </c>
      <c r="D57" s="18">
        <f>D54+D55-D56</f>
        <v/>
      </c>
      <c r="E57" s="18">
        <f>E54+E55-E56</f>
        <v/>
      </c>
      <c r="F57" s="18">
        <f>F54+F55-F56</f>
        <v/>
      </c>
      <c r="G57" s="18">
        <f>G54+G55-G56</f>
        <v/>
      </c>
      <c r="H57" s="18">
        <f>H54+H55-H56</f>
        <v/>
      </c>
      <c r="I57" s="18">
        <f>I54+I55-I56</f>
        <v/>
      </c>
    </row>
    <row r="59">
      <c r="A59" s="7" t="inlineStr">
        <is>
          <t>CASH FLOW STATEMENT (indirect)  —  from t = 1; t = 0 anchored by opening balance sheet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9" t="inlineStr">
        <is>
          <t>Net income</t>
        </is>
      </c>
      <c r="C60" s="17">
        <f>C30</f>
        <v/>
      </c>
      <c r="D60" s="17">
        <f>D30</f>
        <v/>
      </c>
      <c r="E60" s="17">
        <f>E30</f>
        <v/>
      </c>
      <c r="F60" s="17">
        <f>F30</f>
        <v/>
      </c>
      <c r="G60" s="17">
        <f>G30</f>
        <v/>
      </c>
      <c r="H60" s="17">
        <f>H30</f>
        <v/>
      </c>
      <c r="I60" s="17">
        <f>I30</f>
        <v/>
      </c>
    </row>
    <row r="61">
      <c r="A61" s="9" t="inlineStr">
        <is>
          <t>Add: D&amp;A</t>
        </is>
      </c>
      <c r="C61" s="17">
        <f>C25</f>
        <v/>
      </c>
      <c r="D61" s="17">
        <f>D25</f>
        <v/>
      </c>
      <c r="E61" s="17">
        <f>E25</f>
        <v/>
      </c>
      <c r="F61" s="17">
        <f>F25</f>
        <v/>
      </c>
      <c r="G61" s="17">
        <f>G25</f>
        <v/>
      </c>
      <c r="H61" s="17">
        <f>H25</f>
        <v/>
      </c>
      <c r="I61" s="17">
        <f>I25</f>
        <v/>
      </c>
    </row>
    <row r="62">
      <c r="A62" s="9" t="inlineStr">
        <is>
          <t>(Increase) / decrease in net working capital</t>
        </is>
      </c>
      <c r="C62" s="17">
        <f>-C40</f>
        <v/>
      </c>
      <c r="D62" s="17">
        <f>-D40</f>
        <v/>
      </c>
      <c r="E62" s="17">
        <f>-E40</f>
        <v/>
      </c>
      <c r="F62" s="17">
        <f>-F40</f>
        <v/>
      </c>
      <c r="G62" s="17">
        <f>-G40</f>
        <v/>
      </c>
      <c r="H62" s="17">
        <f>-H40</f>
        <v/>
      </c>
      <c r="I62" s="17">
        <f>-I40</f>
        <v/>
      </c>
    </row>
    <row r="63">
      <c r="A63" s="14" t="inlineStr">
        <is>
          <t>Cash flow from operations (CFO)</t>
        </is>
      </c>
      <c r="C63" s="18">
        <f>SUM(C60:C62)</f>
        <v/>
      </c>
      <c r="D63" s="18">
        <f>SUM(D60:D62)</f>
        <v/>
      </c>
      <c r="E63" s="18">
        <f>SUM(E60:E62)</f>
        <v/>
      </c>
      <c r="F63" s="18">
        <f>SUM(F60:F62)</f>
        <v/>
      </c>
      <c r="G63" s="18">
        <f>SUM(G60:G62)</f>
        <v/>
      </c>
      <c r="H63" s="18">
        <f>SUM(H60:H62)</f>
        <v/>
      </c>
      <c r="I63" s="18">
        <f>SUM(I60:I62)</f>
        <v/>
      </c>
    </row>
    <row r="64">
      <c r="A64" s="9" t="inlineStr">
        <is>
          <t>Less: Capital expenditure</t>
        </is>
      </c>
      <c r="C64" s="17">
        <f>-C44</f>
        <v/>
      </c>
      <c r="D64" s="17">
        <f>-D44</f>
        <v/>
      </c>
      <c r="E64" s="17">
        <f>-E44</f>
        <v/>
      </c>
      <c r="F64" s="17">
        <f>-F44</f>
        <v/>
      </c>
      <c r="G64" s="17">
        <f>-G44</f>
        <v/>
      </c>
      <c r="H64" s="17">
        <f>-H44</f>
        <v/>
      </c>
      <c r="I64" s="17">
        <f>-I44</f>
        <v/>
      </c>
    </row>
    <row r="65">
      <c r="A65" s="14" t="inlineStr">
        <is>
          <t>Cash flow from investing (CFI)</t>
        </is>
      </c>
      <c r="C65" s="18">
        <f>C64</f>
        <v/>
      </c>
      <c r="D65" s="18">
        <f>D64</f>
        <v/>
      </c>
      <c r="E65" s="18">
        <f>E64</f>
        <v/>
      </c>
      <c r="F65" s="18">
        <f>F64</f>
        <v/>
      </c>
      <c r="G65" s="18">
        <f>G64</f>
        <v/>
      </c>
      <c r="H65" s="18">
        <f>H64</f>
        <v/>
      </c>
      <c r="I65" s="18">
        <f>I64</f>
        <v/>
      </c>
    </row>
    <row r="66">
      <c r="A66" s="9" t="inlineStr">
        <is>
          <t>Less: Dividends paid</t>
        </is>
      </c>
      <c r="C66" s="17">
        <f>-C32</f>
        <v/>
      </c>
      <c r="D66" s="17">
        <f>-D32</f>
        <v/>
      </c>
      <c r="E66" s="17">
        <f>-E32</f>
        <v/>
      </c>
      <c r="F66" s="17">
        <f>-F32</f>
        <v/>
      </c>
      <c r="G66" s="17">
        <f>-G32</f>
        <v/>
      </c>
      <c r="H66" s="17">
        <f>-H32</f>
        <v/>
      </c>
      <c r="I66" s="17">
        <f>-I32</f>
        <v/>
      </c>
    </row>
    <row r="67">
      <c r="A67" s="9" t="inlineStr">
        <is>
          <t>Less: Debt repayment (scheduled amortization)</t>
        </is>
      </c>
      <c r="C67" s="17">
        <f>-C50</f>
        <v/>
      </c>
      <c r="D67" s="17">
        <f>-D50</f>
        <v/>
      </c>
      <c r="E67" s="17">
        <f>-E50</f>
        <v/>
      </c>
      <c r="F67" s="17">
        <f>-F50</f>
        <v/>
      </c>
      <c r="G67" s="17">
        <f>-G50</f>
        <v/>
      </c>
      <c r="H67" s="17">
        <f>-H50</f>
        <v/>
      </c>
      <c r="I67" s="17">
        <f>-I50</f>
        <v/>
      </c>
    </row>
    <row r="68">
      <c r="A68" s="14" t="inlineStr">
        <is>
          <t>Cash flow from financing (CFF)</t>
        </is>
      </c>
      <c r="C68" s="18">
        <f>C66+C67</f>
        <v/>
      </c>
      <c r="D68" s="18">
        <f>D66+D67</f>
        <v/>
      </c>
      <c r="E68" s="18">
        <f>E66+E67</f>
        <v/>
      </c>
      <c r="F68" s="18">
        <f>F66+F67</f>
        <v/>
      </c>
      <c r="G68" s="18">
        <f>G66+G67</f>
        <v/>
      </c>
      <c r="H68" s="18">
        <f>H66+H67</f>
        <v/>
      </c>
      <c r="I68" s="18">
        <f>I66+I67</f>
        <v/>
      </c>
    </row>
    <row r="69">
      <c r="A69" s="14" t="inlineStr">
        <is>
          <t>Net change in cash (CFO + CFI + CFF)</t>
        </is>
      </c>
      <c r="C69" s="18">
        <f>C63+C65+C68</f>
        <v/>
      </c>
      <c r="D69" s="18">
        <f>D63+D65+D68</f>
        <v/>
      </c>
      <c r="E69" s="18">
        <f>E63+E65+E68</f>
        <v/>
      </c>
      <c r="F69" s="18">
        <f>F63+F65+F68</f>
        <v/>
      </c>
      <c r="G69" s="18">
        <f>G63+G65+G68</f>
        <v/>
      </c>
      <c r="H69" s="18">
        <f>H63+H65+H68</f>
        <v/>
      </c>
      <c r="I69" s="18">
        <f>I63+I65+I68</f>
        <v/>
      </c>
    </row>
    <row r="70">
      <c r="A70" s="9" t="inlineStr">
        <is>
          <t>Opening cash</t>
        </is>
      </c>
      <c r="C70" s="17">
        <f>B71</f>
        <v/>
      </c>
      <c r="D70" s="17">
        <f>C71</f>
        <v/>
      </c>
      <c r="E70" s="17">
        <f>D71</f>
        <v/>
      </c>
      <c r="F70" s="17">
        <f>E71</f>
        <v/>
      </c>
      <c r="G70" s="17">
        <f>F71</f>
        <v/>
      </c>
      <c r="H70" s="17">
        <f>G71</f>
        <v/>
      </c>
      <c r="I70" s="17">
        <f>H71</f>
        <v/>
      </c>
    </row>
    <row r="71">
      <c r="A71" s="14" t="inlineStr">
        <is>
          <t>Closing cash</t>
        </is>
      </c>
      <c r="B71" s="26" t="n">
        <v>40</v>
      </c>
      <c r="C71" s="19">
        <f>C70+C69</f>
        <v/>
      </c>
      <c r="D71" s="19">
        <f>D70+D69</f>
        <v/>
      </c>
      <c r="E71" s="19">
        <f>E70+E69</f>
        <v/>
      </c>
      <c r="F71" s="19">
        <f>F70+F69</f>
        <v/>
      </c>
      <c r="G71" s="19">
        <f>G70+G69</f>
        <v/>
      </c>
      <c r="H71" s="19">
        <f>H70+H69</f>
        <v/>
      </c>
      <c r="I71" s="19">
        <f>I70+I69</f>
        <v/>
      </c>
    </row>
    <row r="73">
      <c r="A73" s="7" t="inlineStr">
        <is>
          <t>BALANCE SHEET</t>
        </is>
      </c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9" t="inlineStr">
        <is>
          <t>Cash</t>
        </is>
      </c>
      <c r="B74" s="17">
        <f>B71</f>
        <v/>
      </c>
      <c r="C74" s="17">
        <f>C71</f>
        <v/>
      </c>
      <c r="D74" s="17">
        <f>D71</f>
        <v/>
      </c>
      <c r="E74" s="17">
        <f>E71</f>
        <v/>
      </c>
      <c r="F74" s="17">
        <f>F71</f>
        <v/>
      </c>
      <c r="G74" s="17">
        <f>G71</f>
        <v/>
      </c>
      <c r="H74" s="17">
        <f>H71</f>
        <v/>
      </c>
      <c r="I74" s="17">
        <f>I71</f>
        <v/>
      </c>
    </row>
    <row r="75">
      <c r="A75" s="9" t="inlineStr">
        <is>
          <t>Accounts receivable</t>
        </is>
      </c>
      <c r="B75" s="17">
        <f>B36</f>
        <v/>
      </c>
      <c r="C75" s="17">
        <f>C36</f>
        <v/>
      </c>
      <c r="D75" s="17">
        <f>D36</f>
        <v/>
      </c>
      <c r="E75" s="17">
        <f>E36</f>
        <v/>
      </c>
      <c r="F75" s="17">
        <f>F36</f>
        <v/>
      </c>
      <c r="G75" s="17">
        <f>G36</f>
        <v/>
      </c>
      <c r="H75" s="17">
        <f>H36</f>
        <v/>
      </c>
      <c r="I75" s="17">
        <f>I36</f>
        <v/>
      </c>
    </row>
    <row r="76">
      <c r="A76" s="9" t="inlineStr">
        <is>
          <t>Inventory</t>
        </is>
      </c>
      <c r="B76" s="17">
        <f>B37</f>
        <v/>
      </c>
      <c r="C76" s="17">
        <f>C37</f>
        <v/>
      </c>
      <c r="D76" s="17">
        <f>D37</f>
        <v/>
      </c>
      <c r="E76" s="17">
        <f>E37</f>
        <v/>
      </c>
      <c r="F76" s="17">
        <f>F37</f>
        <v/>
      </c>
      <c r="G76" s="17">
        <f>G37</f>
        <v/>
      </c>
      <c r="H76" s="17">
        <f>H37</f>
        <v/>
      </c>
      <c r="I76" s="17">
        <f>I37</f>
        <v/>
      </c>
    </row>
    <row r="77">
      <c r="A77" s="9" t="inlineStr">
        <is>
          <t>Net PP&amp;E</t>
        </is>
      </c>
      <c r="B77" s="17">
        <f>B46</f>
        <v/>
      </c>
      <c r="C77" s="17">
        <f>C46</f>
        <v/>
      </c>
      <c r="D77" s="17">
        <f>D46</f>
        <v/>
      </c>
      <c r="E77" s="17">
        <f>E46</f>
        <v/>
      </c>
      <c r="F77" s="17">
        <f>F46</f>
        <v/>
      </c>
      <c r="G77" s="17">
        <f>G46</f>
        <v/>
      </c>
      <c r="H77" s="17">
        <f>H46</f>
        <v/>
      </c>
      <c r="I77" s="17">
        <f>I46</f>
        <v/>
      </c>
    </row>
    <row r="78">
      <c r="A78" s="14" t="inlineStr">
        <is>
          <t>Total assets</t>
        </is>
      </c>
      <c r="B78" s="19">
        <f>SUM(B74:B77)</f>
        <v/>
      </c>
      <c r="C78" s="19">
        <f>SUM(C74:C77)</f>
        <v/>
      </c>
      <c r="D78" s="19">
        <f>SUM(D74:D77)</f>
        <v/>
      </c>
      <c r="E78" s="19">
        <f>SUM(E74:E77)</f>
        <v/>
      </c>
      <c r="F78" s="19">
        <f>SUM(F74:F77)</f>
        <v/>
      </c>
      <c r="G78" s="19">
        <f>SUM(G74:G77)</f>
        <v/>
      </c>
      <c r="H78" s="19">
        <f>SUM(H74:H77)</f>
        <v/>
      </c>
      <c r="I78" s="19">
        <f>SUM(I74:I77)</f>
        <v/>
      </c>
    </row>
    <row r="79">
      <c r="A79" s="9" t="inlineStr">
        <is>
          <t>Accounts payable</t>
        </is>
      </c>
      <c r="B79" s="17">
        <f>B38</f>
        <v/>
      </c>
      <c r="C79" s="17">
        <f>C38</f>
        <v/>
      </c>
      <c r="D79" s="17">
        <f>D38</f>
        <v/>
      </c>
      <c r="E79" s="17">
        <f>E38</f>
        <v/>
      </c>
      <c r="F79" s="17">
        <f>F38</f>
        <v/>
      </c>
      <c r="G79" s="17">
        <f>G38</f>
        <v/>
      </c>
      <c r="H79" s="17">
        <f>H38</f>
        <v/>
      </c>
      <c r="I79" s="17">
        <f>I38</f>
        <v/>
      </c>
    </row>
    <row r="80">
      <c r="A80" s="9" t="inlineStr">
        <is>
          <t>Debt</t>
        </is>
      </c>
      <c r="B80" s="17">
        <f>B51</f>
        <v/>
      </c>
      <c r="C80" s="17">
        <f>C51</f>
        <v/>
      </c>
      <c r="D80" s="17">
        <f>D51</f>
        <v/>
      </c>
      <c r="E80" s="17">
        <f>E51</f>
        <v/>
      </c>
      <c r="F80" s="17">
        <f>F51</f>
        <v/>
      </c>
      <c r="G80" s="17">
        <f>G51</f>
        <v/>
      </c>
      <c r="H80" s="17">
        <f>H51</f>
        <v/>
      </c>
      <c r="I80" s="17">
        <f>I51</f>
        <v/>
      </c>
    </row>
    <row r="81">
      <c r="A81" s="14" t="inlineStr">
        <is>
          <t>Total liabilities</t>
        </is>
      </c>
      <c r="B81" s="18">
        <f>B79+B80</f>
        <v/>
      </c>
      <c r="C81" s="18">
        <f>C79+C80</f>
        <v/>
      </c>
      <c r="D81" s="18">
        <f>D79+D80</f>
        <v/>
      </c>
      <c r="E81" s="18">
        <f>E79+E80</f>
        <v/>
      </c>
      <c r="F81" s="18">
        <f>F79+F80</f>
        <v/>
      </c>
      <c r="G81" s="18">
        <f>G79+G80</f>
        <v/>
      </c>
      <c r="H81" s="18">
        <f>H79+H80</f>
        <v/>
      </c>
      <c r="I81" s="18">
        <f>I79+I80</f>
        <v/>
      </c>
    </row>
    <row r="82">
      <c r="A82" s="9" t="inlineStr">
        <is>
          <t>Equity</t>
        </is>
      </c>
      <c r="B82" s="17">
        <f>B57</f>
        <v/>
      </c>
      <c r="C82" s="17">
        <f>C57</f>
        <v/>
      </c>
      <c r="D82" s="17">
        <f>D57</f>
        <v/>
      </c>
      <c r="E82" s="17">
        <f>E57</f>
        <v/>
      </c>
      <c r="F82" s="17">
        <f>F57</f>
        <v/>
      </c>
      <c r="G82" s="17">
        <f>G57</f>
        <v/>
      </c>
      <c r="H82" s="17">
        <f>H57</f>
        <v/>
      </c>
      <c r="I82" s="17">
        <f>I57</f>
        <v/>
      </c>
    </row>
    <row r="83">
      <c r="A83" s="14" t="inlineStr">
        <is>
          <t>Total liabilities &amp; equity</t>
        </is>
      </c>
      <c r="B83" s="19">
        <f>B81+B82</f>
        <v/>
      </c>
      <c r="C83" s="19">
        <f>C81+C82</f>
        <v/>
      </c>
      <c r="D83" s="19">
        <f>D81+D82</f>
        <v/>
      </c>
      <c r="E83" s="19">
        <f>E81+E82</f>
        <v/>
      </c>
      <c r="F83" s="19">
        <f>F81+F82</f>
        <v/>
      </c>
      <c r="G83" s="19">
        <f>G81+G82</f>
        <v/>
      </c>
      <c r="H83" s="19">
        <f>H81+H82</f>
        <v/>
      </c>
      <c r="I83" s="19">
        <f>I81+I82</f>
        <v/>
      </c>
    </row>
    <row r="84">
      <c r="A84" s="27" t="inlineStr">
        <is>
          <t>BALANCE CHECK:  Assets - (Liabilities + Equity)</t>
        </is>
      </c>
      <c r="B84" s="28">
        <f>B78-B83</f>
        <v/>
      </c>
      <c r="C84" s="28">
        <f>C78-C83</f>
        <v/>
      </c>
      <c r="D84" s="28">
        <f>D78-D83</f>
        <v/>
      </c>
      <c r="E84" s="28">
        <f>E78-E83</f>
        <v/>
      </c>
      <c r="F84" s="28">
        <f>F78-F83</f>
        <v/>
      </c>
      <c r="G84" s="28">
        <f>G78-G83</f>
        <v/>
      </c>
      <c r="H84" s="28">
        <f>H78-H83</f>
        <v/>
      </c>
      <c r="I84" s="28">
        <f>I78-I83</f>
        <v/>
      </c>
    </row>
    <row r="85">
      <c r="A85" s="20" t="inlineStr">
        <is>
          <t>Check flag (|check| &lt; 0.01)</t>
        </is>
      </c>
      <c r="B85" s="6">
        <f>IF(ABS(B84)&lt;0.01,"OK","ERROR")</f>
        <v/>
      </c>
      <c r="C85" s="6">
        <f>IF(ABS(C84)&lt;0.01,"OK","ERROR")</f>
        <v/>
      </c>
      <c r="D85" s="6">
        <f>IF(ABS(D84)&lt;0.01,"OK","ERROR")</f>
        <v/>
      </c>
      <c r="E85" s="6">
        <f>IF(ABS(E84)&lt;0.01,"OK","ERROR")</f>
        <v/>
      </c>
      <c r="F85" s="6">
        <f>IF(ABS(F84)&lt;0.01,"OK","ERROR")</f>
        <v/>
      </c>
      <c r="G85" s="6">
        <f>IF(ABS(G84)&lt;0.01,"OK","ERROR")</f>
        <v/>
      </c>
      <c r="H85" s="6">
        <f>IF(ABS(H84)&lt;0.01,"OK","ERROR")</f>
        <v/>
      </c>
      <c r="I85" s="6">
        <f>IF(ABS(I84)&lt;0.01,"OK","ERROR")</f>
        <v/>
      </c>
    </row>
    <row r="87">
      <c r="A87" s="7" t="inlineStr">
        <is>
          <t>HEADLINE OUTPUTS  —  final projection year (t = 7)</t>
        </is>
      </c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14" t="inlineStr">
        <is>
          <t>final_net_income</t>
        </is>
      </c>
      <c r="B88" s="29">
        <f>I30</f>
        <v/>
      </c>
      <c r="C88" s="5" t="inlineStr">
        <is>
          <t>Net income, final year ($m)</t>
        </is>
      </c>
    </row>
    <row r="89">
      <c r="A89" s="14" t="inlineStr">
        <is>
          <t>final_total_assets</t>
        </is>
      </c>
      <c r="B89" s="29">
        <f>I78</f>
        <v/>
      </c>
      <c r="C89" s="5" t="inlineStr">
        <is>
          <t>Total assets, final year ($m)</t>
        </is>
      </c>
    </row>
    <row r="90">
      <c r="A90" s="14" t="inlineStr">
        <is>
          <t>final_total_liabilities_equity</t>
        </is>
      </c>
      <c r="B90" s="29">
        <f>I83</f>
        <v/>
      </c>
      <c r="C90" s="5" t="inlineStr">
        <is>
          <t>Total liabilities + equity, final year ($m)</t>
        </is>
      </c>
    </row>
    <row r="91">
      <c r="A91" s="14" t="inlineStr">
        <is>
          <t>final_balance_check</t>
        </is>
      </c>
      <c r="B91" s="30">
        <f>I84</f>
        <v/>
      </c>
      <c r="C91" s="5" t="inlineStr">
        <is>
          <t>Assets - (liabilities + equity), final year (~0)</t>
        </is>
      </c>
    </row>
    <row r="92">
      <c r="A92" s="14" t="inlineStr">
        <is>
          <t>final_cash</t>
        </is>
      </c>
      <c r="B92" s="29">
        <f>I74</f>
        <v/>
      </c>
      <c r="C92" s="5" t="inlineStr">
        <is>
          <t>Ending cash, final year ($m)</t>
        </is>
      </c>
    </row>
    <row r="93">
      <c r="A93" s="14" t="inlineStr">
        <is>
          <t>final_debt</t>
        </is>
      </c>
      <c r="B93" s="29">
        <f>I80</f>
        <v/>
      </c>
      <c r="C93" s="5" t="inlineStr">
        <is>
          <t>Ending debt, final year ($m) = 180 - 7 x 20 = 40.0</t>
        </is>
      </c>
    </row>
    <row r="95">
      <c r="A95" s="2" t="inlineStr">
        <is>
          <t>Mechanics per brief: P&amp;L -&gt; debt roll (max(prev - 20, 0)) -&gt; PP&amp;E roll -&gt; equity roll -&gt; indirect CFS -&gt; cash roll. No plugs: the balance sheet ties through the model's own mechanics.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6" customWidth="1" min="3" max="3"/>
  </cols>
  <sheetData>
    <row r="1">
      <c r="A1" s="1" t="inlineStr">
        <is>
          <t>BM-3S-001 — Headline Outputs (final projection year, t = 7)</t>
        </is>
      </c>
    </row>
    <row r="2">
      <c r="A2" s="2" t="inlineStr">
        <is>
          <t>All values are live links to the Model sheet.</t>
        </is>
      </c>
    </row>
    <row r="4">
      <c r="A4" s="3" t="inlineStr">
        <is>
          <t>Label</t>
        </is>
      </c>
      <c r="B4" s="3" t="inlineStr">
        <is>
          <t>Value</t>
        </is>
      </c>
      <c r="C4" s="3" t="inlineStr">
        <is>
          <t>Description</t>
        </is>
      </c>
    </row>
    <row r="5">
      <c r="A5" s="14" t="inlineStr">
        <is>
          <t>final_net_income</t>
        </is>
      </c>
      <c r="B5" s="31">
        <f>Model!I30</f>
        <v/>
      </c>
      <c r="C5" s="5" t="inlineStr">
        <is>
          <t>Net income, final year ($m)</t>
        </is>
      </c>
    </row>
    <row r="6">
      <c r="A6" s="14" t="inlineStr">
        <is>
          <t>final_total_assets</t>
        </is>
      </c>
      <c r="B6" s="31">
        <f>Model!I78</f>
        <v/>
      </c>
      <c r="C6" s="5" t="inlineStr">
        <is>
          <t>Total assets, final year ($m)</t>
        </is>
      </c>
    </row>
    <row r="7">
      <c r="A7" s="14" t="inlineStr">
        <is>
          <t>final_total_liabilities_equity</t>
        </is>
      </c>
      <c r="B7" s="31">
        <f>Model!I83</f>
        <v/>
      </c>
      <c r="C7" s="5" t="inlineStr">
        <is>
          <t>Total liabilities + equity, final year ($m)</t>
        </is>
      </c>
    </row>
    <row r="8">
      <c r="A8" s="14" t="inlineStr">
        <is>
          <t>final_balance_check</t>
        </is>
      </c>
      <c r="B8" s="32">
        <f>Model!I84</f>
        <v/>
      </c>
      <c r="C8" s="5" t="inlineStr">
        <is>
          <t>Assets - (liabilities + equity), final year (~0)</t>
        </is>
      </c>
    </row>
    <row r="9">
      <c r="A9" s="14" t="inlineStr">
        <is>
          <t>final_cash</t>
        </is>
      </c>
      <c r="B9" s="31">
        <f>Model!I74</f>
        <v/>
      </c>
      <c r="C9" s="5" t="inlineStr">
        <is>
          <t>Ending cash, final year ($m)</t>
        </is>
      </c>
    </row>
    <row r="10">
      <c r="A10" s="14" t="inlineStr">
        <is>
          <t>final_debt</t>
        </is>
      </c>
      <c r="B10" s="31">
        <f>Model!I80</f>
        <v/>
      </c>
      <c r="C10" s="5" t="inlineStr">
        <is>
          <t>Ending debt, final year ($m) = 180 - 7 x 20 = 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Financial analyst (openpyxl build)</dc:creator>
  <dc:title xmlns:dc="http://purl.org/dc/elements/1.1/">BM-3S-001 MfgCo 3-Statement Model</dc:title>
  <dcterms:created xmlns:dcterms="http://purl.org/dc/terms/" xmlns:xsi="http://www.w3.org/2001/XMLSchema-instance" xsi:type="dcterms:W3CDTF">2026-06-12T15:20:00Z</dcterms:created>
  <dcterms:modified xmlns:dcterms="http://purl.org/dc/terms/" xmlns:xsi="http://www.w3.org/2001/XMLSchema-instance" xsi:type="dcterms:W3CDTF">2026-06-12T15:20:00Z</dcterms:modified>
</cp:coreProperties>
</file>