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3.xml" ContentType="application/vnd.openxmlformats-officedocument.spreadsheetml.comments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comments/comment4.xml" ContentType="application/vnd.openxmlformats-officedocument.spreadsheetml.comments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comments/comment5.xml" ContentType="application/vnd.openxmlformats-officedocument.spreadsheetml.comments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dFlags" sheetId="1" state="visible" r:id="rId1"/>
    <sheet xmlns:r="http://schemas.openxmlformats.org/officeDocument/2006/relationships" name="Cover" sheetId="2" state="visible" r:id="rId2"/>
    <sheet xmlns:r="http://schemas.openxmlformats.org/officeDocument/2006/relationships" name="Sources" sheetId="3" state="visible" r:id="rId3"/>
    <sheet xmlns:r="http://schemas.openxmlformats.org/officeDocument/2006/relationships" name="Assumptions" sheetId="4" state="visible" r:id="rId4"/>
    <sheet xmlns:r="http://schemas.openxmlformats.org/officeDocument/2006/relationships" name="Model" sheetId="5" state="visible" r:id="rId5"/>
    <sheet xmlns:r="http://schemas.openxmlformats.org/officeDocument/2006/relationships" name="QC" sheetId="6" state="visible" r:id="rId6"/>
    <sheet xmlns:r="http://schemas.openxmlformats.org/officeDocument/2006/relationships" name="MOAT" sheetId="7" state="visible" r:id="rId7"/>
    <sheet xmlns:r="http://schemas.openxmlformats.org/officeDocument/2006/relationships" name="ComplianceCheck" sheetId="8" state="visible" r:id="rId8"/>
    <sheet xmlns:r="http://schemas.openxmlformats.org/officeDocument/2006/relationships" name="SensitivityAnalysis" sheetId="9" state="visible" r:id="rId9"/>
    <sheet xmlns:r="http://schemas.openxmlformats.org/officeDocument/2006/relationships" name="MonteCarlo" sheetId="10" state="visible" r:id="rId10"/>
    <sheet xmlns:r="http://schemas.openxmlformats.org/officeDocument/2006/relationships" name="Reproducibility" sheetId="11" state="visible" r:id="rId11"/>
  </sheets>
  <definedNames>
    <definedName name="scenario_index">'Cover'!$C$17</definedName>
    <definedName name="revenue_growth_y1">'Assumptions'!$I$6</definedName>
    <definedName name="revenue_growth_y2">'Assumptions'!$I$7</definedName>
    <definedName name="revenue_growth_y3">'Assumptions'!$I$8</definedName>
    <definedName name="revenue_growth_y4">'Assumptions'!$I$9</definedName>
    <definedName name="revenue_growth_y5">'Assumptions'!$I$10</definedName>
    <definedName name="ebitda_margin_y1">'Assumptions'!$I$11</definedName>
    <definedName name="ebitda_margin_y2">'Assumptions'!$I$12</definedName>
    <definedName name="ebitda_margin_y3">'Assumptions'!$I$13</definedName>
    <definedName name="ebitda_margin_y4">'Assumptions'!$I$14</definedName>
    <definedName name="ebitda_margin_y5">'Assumptions'!$I$15</definedName>
    <definedName name="da_pct_revenue">'Assumptions'!$I$16</definedName>
    <definedName name="interest_on_debt_pct">'Assumptions'!$I$17</definedName>
    <definedName name="effective_tax_rate">'Assumptions'!$I$18</definedName>
    <definedName name="receivables_days">'Assumptions'!$I$19</definedName>
    <definedName name="inventory_days">'Assumptions'!$I$20</definedName>
    <definedName name="payables_days">'Assumptions'!$I$21</definedName>
    <definedName name="capex_pct_revenue">'Assumptions'!$I$22</definedName>
    <definedName name="dividend_payout_ratio">'Assumptions'!$I$23</definedName>
    <definedName name="sbc_pct_revenue">'Model'!$D$60</definedName>
    <definedName name="revolver_capacity_eur_m">'Model'!$D$61</definedName>
    <definedName name="revolver_commitment_fee_pct">'Model'!$D$62</definedName>
    <definedName name="book_tax_diff_da_pct">'Model'!$D$63</definedName>
    <definedName name="nol_util_cap_pct">'Model'!$D$64</definedName>
    <definedName name="aif_leverage_cap_open">'ComplianceCheck'!$D$7</definedName>
    <definedName name="aif_leverage_cap_closed">'ComplianceCheck'!$D$8</definedName>
    <definedName name="aif_actual_leverage">'ComplianceCheck'!$D$10</definedName>
    <definedName name="aif_largest_single_borrower_pct_nav">'ComplianceCheck'!$D$13</definedName>
    <definedName name="aif_single_borrower_cap">'ComplianceCheck'!$D$14</definedName>
    <definedName name="tax_ires_rate">'ComplianceCheck'!$D$51</definedName>
    <definedName name="tax_irap_rate">'ComplianceCheck'!$D$52</definedName>
    <definedName name="primary_output">'Model'!$D$17</definedName>
    <definedName name="sensitivity_shock_1">'SensitivityAnalysis'!$C$22</definedName>
    <definedName name="sensitivity_shock_2">'SensitivityAnalysis'!$D$22</definedName>
    <definedName name="sensitivity_shock_3">'SensitivityAnalysis'!$E$22</definedName>
    <definedName name="sensitivity_shock_4">'SensitivityAnalysis'!$F$22</definedName>
    <definedName name="sensitivity_shock_5">'SensitivityAnalysis'!$G$22</definedName>
    <definedName name="mc_vol">'MonteCarlo'!$B$9</definedName>
    <definedName name="mf_spec_sha256">'Reproducibility'!$B$5</definedName>
    <definedName name="mf_version">'Reproducibility'!$B$6</definedName>
    <definedName name="mf_python_version">'Reproducibility'!$B$7</definedName>
    <definedName name="mf_build_timestamp">'Reproducibility'!$B$8</definedName>
    <definedName name="mf_spec_source">'Reproducibility'!$B$9</definedName>
    <definedName name="_xlnm.Print_Titles" localSheetId="0">'RedFlags'!$7:$7</definedName>
    <definedName name="_xlnm.Print_Titles" localSheetId="1">'Cover'!$1:$2</definedName>
    <definedName name="_xlnm.Print_Titles" localSheetId="2">'Sources'!$4:$5</definedName>
    <definedName name="_xlnm.Print_Titles" localSheetId="3">'Assumptions'!$5:$5</definedName>
    <definedName name="_xlnm.Print_Titles" localSheetId="4">'Model'!$5:$5,'Model'!$A:$C</definedName>
    <definedName name="_xlnm.Print_Titles" localSheetId="5">'QC'!$4:$6,'QC'!$A:$C</definedName>
    <definedName name="_xlnm.Print_Titles" localSheetId="7">'ComplianceCheck'!$1:$4</definedName>
    <definedName name="_xlnm.Print_Titles" localSheetId="8">'SensitivityAnalysis'!$9:$9,'SensitivityAnalysis'!$A:$C</definedName>
    <definedName name="_xlnm.Print_Titles" localSheetId="9">'MonteCarlo'!$17:$17</definedName>
    <definedName name="_xlnm.Print_Titles" localSheetId="10">'Reproducibility'!$1:$3</definedName>
  </definedNames>
  <calcPr calcId="124519" fullCalcOnLoad="1" iterate="1" iterateCount="100" iterateDelta="0.001"/>
</workbook>
</file>

<file path=xl/styles.xml><?xml version="1.0" encoding="utf-8"?>
<styleSheet xmlns="http://schemas.openxmlformats.org/spreadsheetml/2006/main">
  <numFmts count="7">
    <numFmt numFmtId="164" formatCode="dd-mmm-yyyy"/>
    <numFmt numFmtId="165" formatCode="#,##0;[Red](#,##0);-"/>
    <numFmt numFmtId="166" formatCode="0.0%;[Red](0.0%);0.0%"/>
    <numFmt numFmtId="167" formatCode="_(* #,##0.0_);[Red]_(* (#,##0.0);_(* &quot;-&quot;??_);_(@_)"/>
    <numFmt numFmtId="168" formatCode="0.00%;[Red](0.00%);0.00%"/>
    <numFmt numFmtId="169" formatCode="0.00&quot;x&quot;;[Red](0.00&quot;x&quot;);&quot;-&quot;"/>
    <numFmt numFmtId="170" formatCode="_(* #,##0.00_);[Red]_(* (#,##0.00);_(* &quot;-&quot;??_);_(@_)"/>
  </numFmts>
  <fonts count="27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i val="1"/>
      <color rgb="00666666"/>
      <sz val="9"/>
    </font>
    <font>
      <name val="Calibri"/>
      <sz val="10"/>
    </font>
    <font>
      <name val="Calibri"/>
      <color rgb="000000FF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FFFF"/>
      <sz val="11"/>
    </font>
    <font>
      <name val="Calibri"/>
      <color rgb="000563C1"/>
      <sz val="10"/>
      <u val="single"/>
    </font>
    <font>
      <name val="Calibri"/>
      <b val="1"/>
      <color rgb="00008000"/>
      <sz val="10"/>
    </font>
    <font>
      <name val="Calibri"/>
      <i val="1"/>
      <color rgb="00555555"/>
      <sz val="10"/>
    </font>
    <font>
      <name val="Calibri"/>
      <b val="1"/>
      <color rgb="00006100"/>
      <sz val="10"/>
    </font>
    <font>
      <name val="Calibri"/>
      <b val="1"/>
      <color rgb="00555555"/>
      <sz val="10"/>
    </font>
    <font>
      <name val="Calibri"/>
      <i val="1"/>
      <color rgb="00888888"/>
      <sz val="9"/>
    </font>
    <font>
      <name val="Calibri"/>
      <color rgb="00006100"/>
      <sz val="10"/>
    </font>
    <font>
      <name val="Calibri"/>
      <b val="1"/>
      <i val="1"/>
      <color rgb="00006100"/>
      <sz val="10"/>
    </font>
    <font>
      <name val="Calibri"/>
      <b val="1"/>
      <i val="1"/>
      <color rgb="009C5700"/>
      <sz val="10"/>
    </font>
    <font>
      <name val="Calibri"/>
      <i val="1"/>
      <color rgb="00595959"/>
      <sz val="10"/>
    </font>
    <font>
      <name val="Consolas"/>
      <sz val="10"/>
    </font>
    <font>
      <name val="Calibri"/>
      <b val="1"/>
      <strike val="0"/>
      <color rgb="00000000"/>
      <sz val="10"/>
    </font>
    <font>
      <name val="Calibri"/>
      <strike val="0"/>
      <color rgb="00000000"/>
      <sz val="11"/>
    </font>
    <font>
      <b val="1"/>
      <color rgb="00000000"/>
      <sz val="14"/>
    </font>
    <font>
      <sz val="10"/>
    </font>
    <font>
      <b val="1"/>
      <sz val="10"/>
    </font>
    <font>
      <b val="1"/>
      <color rgb="0000B050"/>
    </font>
    <font>
      <b val="1"/>
      <sz val="14"/>
    </font>
    <font>
      <name val="Calibri"/>
      <strike val="0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F2F2F2"/>
      </patternFill>
    </fill>
    <fill>
      <patternFill patternType="solid">
        <fgColor rgb="00C6EFCE"/>
      </patternFill>
    </fill>
  </fills>
  <borders count="6">
    <border>
      <left/>
      <right/>
      <top/>
      <bottom/>
      <diagonal/>
    </border>
    <border>
      <bottom style="thin">
        <color rgb="00808080"/>
      </bottom>
    </border>
    <border>
      <top style="medium">
        <color rgb="00000000"/>
      </top>
      <bottom style="medium">
        <color rgb="00000000"/>
      </bottom>
    </border>
    <border>
      <top style="thin">
        <color rgb="00808080"/>
      </top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1">
    <xf numFmtId="0" fontId="0" fillId="0" borderId="0"/>
  </cellStyleXfs>
  <cellXfs count="8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right" vertical="center"/>
    </xf>
    <xf numFmtId="164" fontId="4" fillId="0" borderId="0" applyAlignment="1" pivotButton="0" quotePrefix="0" xfId="0">
      <alignment horizontal="right" vertical="center"/>
    </xf>
    <xf numFmtId="0" fontId="5" fillId="2" borderId="1" applyAlignment="1" pivotButton="0" quotePrefix="0" xfId="0">
      <alignment horizontal="left" vertical="center"/>
    </xf>
    <xf numFmtId="0" fontId="5" fillId="2" borderId="0" pivotButton="0" quotePrefix="0" xfId="0"/>
    <xf numFmtId="0" fontId="0" fillId="2" borderId="0" pivotButton="0" quotePrefix="0" xfId="0"/>
    <xf numFmtId="165" fontId="4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center" vertical="center"/>
    </xf>
    <xf numFmtId="0" fontId="7" fillId="3" borderId="2" applyAlignment="1" pivotButton="0" quotePrefix="0" xfId="0">
      <alignment horizontal="center" vertical="center"/>
    </xf>
    <xf numFmtId="0" fontId="3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5" fillId="0" borderId="0" pivotButton="0" quotePrefix="0" xfId="0"/>
    <xf numFmtId="0" fontId="9" fillId="0" borderId="0" applyAlignment="1" pivotButton="0" quotePrefix="0" xfId="0">
      <alignment horizontal="center" vertical="center"/>
    </xf>
    <xf numFmtId="0" fontId="10" fillId="0" borderId="0" pivotButton="0" quotePrefix="0" xfId="0"/>
    <xf numFmtId="166" fontId="4" fillId="0" borderId="0" applyAlignment="1" pivotButton="0" quotePrefix="0" xfId="0">
      <alignment horizontal="right" vertical="center"/>
    </xf>
    <xf numFmtId="166" fontId="5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top" wrapText="1"/>
    </xf>
    <xf numFmtId="0" fontId="11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165" fontId="5" fillId="0" borderId="0" applyAlignment="1" pivotButton="0" quotePrefix="0" xfId="0">
      <alignment horizontal="right" vertical="center"/>
    </xf>
    <xf numFmtId="0" fontId="12" fillId="0" borderId="0" applyAlignment="1" pivotButton="0" quotePrefix="0" xfId="0">
      <alignment horizontal="right" vertical="center"/>
    </xf>
    <xf numFmtId="0" fontId="13" fillId="0" borderId="0" applyAlignment="1" pivotButton="0" quotePrefix="0" xfId="0">
      <alignment horizontal="right" vertical="center"/>
    </xf>
    <xf numFmtId="0" fontId="7" fillId="3" borderId="0" applyAlignment="1" pivotButton="0" quotePrefix="0" xfId="0">
      <alignment horizontal="center" vertical="center"/>
    </xf>
    <xf numFmtId="166" fontId="6" fillId="0" borderId="0" applyAlignment="1" pivotButton="0" quotePrefix="0" xfId="0">
      <alignment horizontal="right" vertical="center"/>
    </xf>
    <xf numFmtId="166" fontId="14" fillId="0" borderId="0" applyAlignment="1" pivotButton="0" quotePrefix="0" xfId="0">
      <alignment horizontal="right" vertical="center"/>
    </xf>
    <xf numFmtId="167" fontId="4" fillId="0" borderId="0" applyAlignment="1" pivotButton="0" quotePrefix="0" xfId="0">
      <alignment horizontal="right" vertical="center"/>
    </xf>
    <xf numFmtId="167" fontId="6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 indent="1"/>
    </xf>
    <xf numFmtId="167" fontId="5" fillId="0" borderId="3" applyAlignment="1" pivotButton="0" quotePrefix="0" xfId="0">
      <alignment horizontal="right" vertical="center"/>
    </xf>
    <xf numFmtId="167" fontId="14" fillId="0" borderId="0" applyAlignment="1" pivotButton="0" quotePrefix="0" xfId="0">
      <alignment horizontal="right" vertical="center"/>
    </xf>
    <xf numFmtId="167" fontId="5" fillId="0" borderId="0" applyAlignment="1" pivotButton="0" quotePrefix="0" xfId="0">
      <alignment horizontal="right" vertical="center"/>
    </xf>
    <xf numFmtId="0" fontId="7" fillId="3" borderId="0" pivotButton="0" quotePrefix="0" xfId="0"/>
    <xf numFmtId="165" fontId="5" fillId="4" borderId="4" applyAlignment="1" pivotButton="0" quotePrefix="0" xfId="0">
      <alignment horizontal="center" vertical="center"/>
    </xf>
    <xf numFmtId="165" fontId="6" fillId="0" borderId="0" applyAlignment="1" pivotButton="0" quotePrefix="0" xfId="0">
      <alignment horizontal="center" vertical="center"/>
    </xf>
    <xf numFmtId="168" fontId="4" fillId="0" borderId="0" applyAlignment="1" pivotButton="0" quotePrefix="0" xfId="0">
      <alignment horizontal="right" vertical="center"/>
    </xf>
    <xf numFmtId="168" fontId="6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right" vertical="center"/>
    </xf>
    <xf numFmtId="168" fontId="5" fillId="0" borderId="0" applyAlignment="1" pivotButton="0" quotePrefix="0" xfId="0">
      <alignment horizontal="right" vertical="center"/>
    </xf>
    <xf numFmtId="0" fontId="15" fillId="0" borderId="0" applyAlignment="1" pivotButton="0" quotePrefix="0" xfId="0">
      <alignment horizontal="left" vertical="center"/>
    </xf>
    <xf numFmtId="0" fontId="11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right" vertical="center"/>
    </xf>
    <xf numFmtId="169" fontId="4" fillId="0" borderId="0" applyAlignment="1" pivotButton="0" quotePrefix="0" xfId="0">
      <alignment horizontal="right" vertical="center"/>
    </xf>
    <xf numFmtId="0" fontId="15" fillId="0" borderId="0" applyAlignment="1" pivotButton="0" quotePrefix="0" xfId="0">
      <alignment horizontal="left" vertical="center"/>
    </xf>
    <xf numFmtId="0" fontId="16" fillId="5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/>
    </xf>
    <xf numFmtId="0" fontId="16" fillId="5" borderId="0" pivotButton="0" quotePrefix="0" xfId="0"/>
    <xf numFmtId="170" fontId="17" fillId="5" borderId="0" applyAlignment="1" pivotButton="0" quotePrefix="0" xfId="0">
      <alignment horizontal="right" vertical="center"/>
    </xf>
    <xf numFmtId="165" fontId="17" fillId="5" borderId="0" applyAlignment="1" pivotButton="0" quotePrefix="0" xfId="0">
      <alignment horizontal="right" vertical="center"/>
    </xf>
    <xf numFmtId="0" fontId="18" fillId="0" borderId="0" applyAlignment="1" pivotButton="0" quotePrefix="0" xfId="0">
      <alignment horizontal="right" vertical="center"/>
    </xf>
    <xf numFmtId="49" fontId="19" fillId="0" borderId="0" applyAlignment="1" pivotButton="0" quotePrefix="0" xfId="0">
      <alignment horizontal="center" vertical="center"/>
    </xf>
    <xf numFmtId="166" fontId="19" fillId="0" borderId="0" applyAlignment="1" pivotButton="0" quotePrefix="0" xfId="0">
      <alignment horizontal="right" vertical="center"/>
    </xf>
    <xf numFmtId="165" fontId="19" fillId="0" borderId="0" applyAlignment="1" pivotButton="0" quotePrefix="0" xfId="0">
      <alignment horizontal="right" vertical="center"/>
    </xf>
    <xf numFmtId="49" fontId="7" fillId="3" borderId="0" applyAlignment="1" pivotButton="0" quotePrefix="0" xfId="0">
      <alignment horizontal="center" vertical="center"/>
    </xf>
    <xf numFmtId="167" fontId="19" fillId="0" borderId="3" applyAlignment="1" pivotButton="0" quotePrefix="0" xfId="0">
      <alignment horizontal="right" vertical="center"/>
    </xf>
    <xf numFmtId="167" fontId="20" fillId="0" borderId="0" pivotButton="0" quotePrefix="0" xfId="0"/>
    <xf numFmtId="167" fontId="19" fillId="0" borderId="0" applyAlignment="1" pivotButton="0" quotePrefix="0" xfId="0">
      <alignment horizontal="right" vertical="center"/>
    </xf>
    <xf numFmtId="165" fontId="19" fillId="4" borderId="4" applyAlignment="1" pivotButton="0" quotePrefix="0" xfId="0">
      <alignment horizontal="center" vertical="center"/>
    </xf>
    <xf numFmtId="165" fontId="14" fillId="0" borderId="0" applyAlignment="1" pivotButton="0" quotePrefix="0" xfId="0">
      <alignment horizontal="center" vertical="center"/>
    </xf>
    <xf numFmtId="49" fontId="19" fillId="0" borderId="0" applyAlignment="1" pivotButton="0" quotePrefix="0" xfId="0">
      <alignment horizontal="right" vertical="center"/>
    </xf>
    <xf numFmtId="168" fontId="19" fillId="0" borderId="0" applyAlignment="1" pivotButton="0" quotePrefix="0" xfId="0">
      <alignment horizontal="right" vertical="center"/>
    </xf>
    <xf numFmtId="165" fontId="19" fillId="0" borderId="0" pivotButton="0" quotePrefix="0" xfId="0"/>
    <xf numFmtId="170" fontId="6" fillId="0" borderId="0" applyAlignment="1" pivotButton="0" quotePrefix="0" xfId="0">
      <alignment horizontal="right" vertical="center"/>
    </xf>
    <xf numFmtId="0" fontId="21" fillId="0" borderId="0" pivotButton="0" quotePrefix="0" xfId="0"/>
    <xf numFmtId="0" fontId="22" fillId="0" borderId="0" pivotButton="0" quotePrefix="0" xfId="0"/>
    <xf numFmtId="0" fontId="23" fillId="0" borderId="0" pivotButton="0" quotePrefix="0" xfId="0"/>
    <xf numFmtId="0" fontId="23" fillId="0" borderId="5" applyAlignment="1" pivotButton="0" quotePrefix="0" xfId="0">
      <alignment horizontal="left" vertical="center"/>
    </xf>
    <xf numFmtId="0" fontId="24" fillId="0" borderId="0" pivotButton="0" quotePrefix="0" xfId="0"/>
    <xf numFmtId="0" fontId="25" fillId="0" borderId="0" pivotButton="0" quotePrefix="0" xfId="0"/>
    <xf numFmtId="0" fontId="23" fillId="6" borderId="0" pivotButton="0" quotePrefix="0" xfId="0"/>
    <xf numFmtId="0" fontId="23" fillId="0" borderId="5" pivotButton="0" quotePrefix="0" xfId="0"/>
    <xf numFmtId="0" fontId="22" fillId="6" borderId="5" applyAlignment="1" pivotButton="0" quotePrefix="0" xfId="0">
      <alignment vertical="top" wrapText="1"/>
    </xf>
    <xf numFmtId="0" fontId="22" fillId="0" borderId="5" applyAlignment="1" pivotButton="0" quotePrefix="0" xfId="0">
      <alignment vertical="top" wrapText="1"/>
    </xf>
    <xf numFmtId="165" fontId="26" fillId="0" borderId="5" applyAlignment="1" pivotButton="0" quotePrefix="0" xfId="0">
      <alignment vertical="top" wrapText="1"/>
    </xf>
  </cellXfs>
  <cellStyles count="1">
    <cellStyle name="Normal" xfId="0" builtinId="0" hidden="0"/>
  </cellStyles>
  <dxfs count="7">
    <dxf>
      <font>
        <name val="Calibri"/>
        <b val="1"/>
        <color rgb="00FFFFFF"/>
        <sz val="11"/>
      </font>
      <fill>
        <patternFill patternType="solid">
          <fgColor rgb="009C0006"/>
        </patternFill>
      </fill>
    </dxf>
    <dxf>
      <font>
        <name val="Calibri"/>
        <b val="1"/>
        <color rgb="00FFFFFF"/>
        <sz val="11"/>
      </font>
      <fill>
        <patternFill patternType="solid">
          <fgColor rgb="001F3864"/>
        </patternFill>
      </fill>
    </dxf>
    <dxf>
      <font>
        <name val="Calibri"/>
        <b val="1"/>
        <color rgb="00FFFFFF"/>
        <sz val="11"/>
      </font>
      <fill>
        <patternFill patternType="solid">
          <fgColor rgb="00006100"/>
        </patternFill>
      </fill>
    </dxf>
    <dxf>
      <font>
        <name val="Calibri"/>
        <b val="1"/>
        <color rgb="00006100"/>
        <sz val="11"/>
      </font>
      <fill>
        <patternFill patternType="solid">
          <fgColor rgb="00C6EFCE"/>
        </patternFill>
      </fill>
    </dxf>
    <dxf>
      <font>
        <name val="Calibri"/>
        <b val="1"/>
        <color rgb="009C0006"/>
        <sz val="11"/>
      </font>
      <fill>
        <patternFill patternType="solid">
          <fgColor rgb="00FFC7CE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Tornado — Net Income (Y1 projected)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'SensitivityAnalysis'!J9</f>
            </strRef>
          </tx>
          <spPr>
            <a:ln xmlns:a="http://schemas.openxmlformats.org/drawingml/2006/main">
              <a:prstDash val="solid"/>
            </a:ln>
          </spPr>
          <cat>
            <numRef>
              <f>'SensitivityAnalysis'!$B$10:$B$16</f>
            </numRef>
          </cat>
          <val>
            <numRef>
              <f>'SensitivityAnalysis'!$J$10:$J$16</f>
            </numRef>
          </val>
        </ser>
        <ser>
          <idx val="1"/>
          <order val="1"/>
          <tx>
            <strRef>
              <f>'SensitivityAnalysis'!K9</f>
            </strRef>
          </tx>
          <spPr>
            <a:ln xmlns:a="http://schemas.openxmlformats.org/drawingml/2006/main">
              <a:prstDash val="solid"/>
            </a:ln>
          </spPr>
          <cat>
            <numRef>
              <f>'SensitivityAnalysis'!$B$10:$B$16</f>
            </numRef>
          </cat>
          <val>
            <numRef>
              <f>'SensitivityAnalysis'!$K$10:$K$16</f>
            </numRef>
          </val>
        </ser>
        <dLbls>
          <showVal val="0"/>
        </dLbls>
        <gapWidth val="150"/>
        <overlap val="10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Δ output (% points)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Factor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Monte Carlo — Δ Net Income (Y1 projected)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'MonteCarlo'!C30</f>
            </strRef>
          </tx>
          <spPr>
            <a:ln xmlns:a="http://schemas.openxmlformats.org/drawingml/2006/main">
              <a:prstDash val="solid"/>
            </a:ln>
          </spPr>
          <cat>
            <numRef>
              <f>'MonteCarlo'!$A$31:$A$60</f>
            </numRef>
          </cat>
          <val>
            <numRef>
              <f>'MonteCarlo'!$C$31:$C$60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Δ output (fractional)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ModelForge</author>
  </authors>
  <commentList>
    <comment ref="G6" authorId="0" shapeId="0">
      <text>
        <t>A-001
Source: S-001
(see Sources!A6)
Confidence: H
Rationale: Frozen benchmark input per brief BM-3S-001.</t>
      </text>
    </comment>
    <comment ref="G7" authorId="0" shapeId="0">
      <text>
        <t>A-002
Source: S-001
(see Sources!A6)
Confidence: H
Rationale: Frozen benchmark input per brief BM-3S-001.</t>
      </text>
    </comment>
    <comment ref="G8" authorId="0" shapeId="0">
      <text>
        <t>A-003
Source: S-001
(see Sources!A6)
Confidence: H
Rationale: Frozen benchmark input per brief BM-3S-001.</t>
      </text>
    </comment>
    <comment ref="G9" authorId="0" shapeId="0">
      <text>
        <t>A-004
Source: S-001
(see Sources!A6)
Confidence: H
Rationale: Frozen benchmark input per brief BM-3S-001.</t>
      </text>
    </comment>
    <comment ref="G10" authorId="0" shapeId="0">
      <text>
        <t>A-005
Source: S-001
(see Sources!A6)
Confidence: H
Rationale: Frozen benchmark input per brief BM-3S-001.</t>
      </text>
    </comment>
    <comment ref="G11" authorId="0" shapeId="0">
      <text>
        <t>A-011
Source: S-001
(see Sources!A6)
Confidence: H
Rationale: Frozen benchmark input per brief BM-3S-001.</t>
      </text>
    </comment>
    <comment ref="G12" authorId="0" shapeId="0">
      <text>
        <t>A-012
Source: S-001
(see Sources!A6)
Confidence: H
Rationale: Frozen benchmark input per brief BM-3S-001.</t>
      </text>
    </comment>
    <comment ref="G13" authorId="0" shapeId="0">
      <text>
        <t>A-013
Source: S-001
(see Sources!A6)
Confidence: H
Rationale: Frozen benchmark input per brief BM-3S-001.</t>
      </text>
    </comment>
    <comment ref="G14" authorId="0" shapeId="0">
      <text>
        <t>A-014
Source: S-001
(see Sources!A6)
Confidence: H
Rationale: Frozen benchmark input per brief BM-3S-001.</t>
      </text>
    </comment>
    <comment ref="G15" authorId="0" shapeId="0">
      <text>
        <t>A-015
Source: S-001
(see Sources!A6)
Confidence: H
Rationale: Frozen benchmark input per brief BM-3S-001.</t>
      </text>
    </comment>
    <comment ref="G16" authorId="0" shapeId="0">
      <text>
        <t>A-020
Source: S-001
(see Sources!A6)
Confidence: H
Rationale: Frozen benchmark input per brief BM-3S-001.</t>
      </text>
    </comment>
    <comment ref="G17" authorId="0" shapeId="0">
      <text>
        <t>A-021
Source: S-001
(see Sources!A6)
Confidence: H
Rationale: Frozen benchmark input per brief BM-3S-001. Charged on opening debt balance.</t>
      </text>
    </comment>
    <comment ref="G18" authorId="0" shapeId="0">
      <text>
        <t>A-022
Source: S-001
(see Sources!A6)
Confidence: H
Rationale: Frozen benchmark input per brief BM-3S-001.</t>
      </text>
    </comment>
    <comment ref="G19" authorId="0" shapeId="0">
      <text>
        <t>A-030
Source: S-001
(see Sources!A6)
Confidence: H
Rationale: Frozen benchmark input per brief BM-3S-001 (on revenue, 365-day year).</t>
      </text>
    </comment>
    <comment ref="G20" authorId="0" shapeId="0">
      <text>
        <t>A-031
Source: S-001
(see Sources!A6)
Confidence: H
Rationale: Frozen benchmark input per brief BM-3S-001 (on revenue, 365-day year).</t>
      </text>
    </comment>
    <comment ref="G21" authorId="0" shapeId="0">
      <text>
        <t>A-032
Source: S-001
(see Sources!A6)
Confidence: H
Rationale: Frozen benchmark input per brief BM-3S-001 (on revenue, 365-day year).</t>
      </text>
    </comment>
    <comment ref="G22" authorId="0" shapeId="0">
      <text>
        <t>A-033
Source: S-001
(see Sources!A6)
Confidence: H
Rationale: Frozen benchmark input per brief BM-3S-001.</t>
      </text>
    </comment>
    <comment ref="G23" authorId="0" shapeId="0">
      <text>
        <t>A-034
Source: S-001
(see Sources!A6)
Confidence: H
Rationale: Frozen benchmark input per brief BM-3S-001 (30% of positive net income).</t>
      </text>
    </comment>
  </commentList>
</comments>
</file>

<file path=xl/comments/comment2.xml><?xml version="1.0" encoding="utf-8"?>
<comments xmlns="http://schemas.openxmlformats.org/spreadsheetml/2006/main">
  <authors>
    <author>ModelForge</author>
  </authors>
  <commentList>
    <comment ref="D52" authorId="0" shapeId="0">
      <text>
        <t>SBC expense = revenue × sbc_pct_revenue (default 1%, see Model parameters). Non-cash → added back on CFS. Override via spec.sbc_pct_revenue.</t>
      </text>
    </comment>
    <comment ref="D60" authorId="0" shapeId="0">
      <text>
        <t>Stock-based compensation as % of revenue (non-cash; CFS add-back). Default 1%. Override via spec.sbc_pct_revenue.</t>
      </text>
    </comment>
    <comment ref="D61" authorId="0" shapeId="0">
      <text>
        <t>Revolver facility capacity. Commitment fee accrues on the undrawn portion. Default 100m. Override via spec.revolver_capacity_eur_m.</t>
      </text>
    </comment>
    <comment ref="D62" authorId="0" shapeId="0">
      <text>
        <t>Annual fee on undrawn revolver capacity. Default 0.5%. Override via spec.revolver_commitment_fee_pct.</t>
      </text>
    </comment>
    <comment ref="D63" authorId="0" shapeId="0">
      <text>
        <t>Book-vs-tax D&amp;A timing difference as % of |D&amp;A|; accrues the DTL each year × tax rate. Default 5%. Override via spec.book_tax_diff_da_pct.</t>
      </text>
    </comment>
    <comment ref="D64" authorId="0" shapeId="0">
      <text>
        <t>NOL carryforward utilisation cap as % of positive EBT (IRC §172 / EU 80% limitation). Default 80%. Override via spec.nol_util_cap_pct.</t>
      </text>
    </comment>
  </commentList>
</comments>
</file>

<file path=xl/comments/comment3.xml><?xml version="1.0" encoding="utf-8"?>
<comments xmlns="http://schemas.openxmlformats.org/spreadsheetml/2006/main">
  <authors>
    <author>ModelForge</author>
  </authors>
  <commentList>
    <comment ref="D6" authorId="0" shapeId="0">
      <text>
        <t>AIF type (open / closed). Selects which AIFMD II leverage cap applies. Override via spec.compliance.aif_type. Default: closed.</t>
      </text>
    </comment>
    <comment ref="D7" authorId="0" shapeId="0">
      <text>
        <t>AIFMD II Article 15a: open-ended AIF max 175% leverage (commitment method). Override via spec.compliance.aif_leverage_cap_open_pct.</t>
      </text>
    </comment>
    <comment ref="D8" authorId="0" shapeId="0">
      <text>
        <t>AIFMD II Article 15a: closed-ended AIF max 300% leverage (commitment method). Override via spec.compliance.aif_leverage_cap_closed_pct. Source: BCLP April 2024 transposition note.</t>
      </text>
    </comment>
    <comment ref="D9" authorId="0" shapeId="0">
      <text>
        <t>Applied cap = open-ended limit if AIF type is open, else closed-ended limit. Both bounds are the named inputs above.</t>
      </text>
    </comment>
    <comment ref="D10" authorId="0" shapeId="0">
      <text>
        <t>Actual portfolio leverage (commitment method) tested against the applied AIFMD II cap. Override via spec.compliance.actual_leverage.</t>
      </text>
    </comment>
    <comment ref="D13" authorId="0" shapeId="0">
      <text>
        <t>Largest single-borrower exposure as % of AIF NAV, tested against the concentration cap. Override via spec.compliance.largest_single_borrower_pct_nav.</t>
      </text>
    </comment>
    <comment ref="D14" authorId="0" shapeId="0">
      <text>
        <t>AIFMD II Article 15a(4): loans to a single borrower capped at 20% of AIF NAV. Override via spec.compliance.largest_borrower_cap_pct. Source: Clifford Chance guidance.</t>
      </text>
    </comment>
    <comment ref="D15" authorId="0" shapeId="0">
      <text>
        <t>AIFMD II Article 15a(4): loans to single borrower capped at 20% of AIF NAV. Source: Clifford Chance guidance.</t>
      </text>
    </comment>
    <comment ref="D19" authorId="0" shapeId="0">
      <text>
        <t>AIFMD II: AIF deemed loan-originating if &gt;50% NAV in originated loans. Must be closed-ended if origination &gt;60% NAV. Source: Linklaters / Ropes &amp; Gray.</t>
      </text>
    </comment>
    <comment ref="A42" authorId="0" shapeId="0">
      <text>
        <t>Minimum prudential backstop per Regulation (EU) 2019/630 applied to credit facilities originated from 26-Apr-2019.</t>
      </text>
    </comment>
    <comment ref="D51" authorId="0" shapeId="0">
      <text>
        <t>IRES — Italian corporate income tax. Override via spec.compliance.tax.ires_rate_pct. Default 24% (Italy 2026).</t>
      </text>
    </comment>
    <comment ref="D52" authorId="0" shapeId="0">
      <text>
        <t>IRAP — regional production tax (national base + regional add-on). Override via spec.compliance.tax.irap_rate_pct. Default 3.9% (Italy non-financial corporate base).</t>
      </text>
    </comment>
    <comment ref="D53" authorId="0" shapeId="0">
      <text>
        <t>Caveat: IRES and IRAP have DIFFERENT tax bases. IRES includes financial items; IRAP excludes them. The 'combined' rate is an APPROXIMATION for non-financial corporates. Banks / insurers pay IRAP at 4.65% + 2pp (Italian 2026 Budget Law). Source: PwC Italy Corporate Tax Summaries.</t>
      </text>
    </comment>
    <comment ref="A64" authorId="0" shapeId="0">
      <text>
        <t>Basel III/IV securitization framework per BCBS d374 (December 2014) implemented in EU via CRR Art. 254 / Reg. EU 2017/2401 + 2402 (STS). Hierarchy: SEC-IRBA &gt; SEC-ERBA &gt; SEC-SA. Output floor 72.5% of SA applicable from 2028. Sources: BIS BCBS d374; EBA technical standards; Banca d'Italia Circolare 285 Title III.</t>
      </text>
    </comment>
  </commentList>
</comments>
</file>

<file path=xl/comments/comment4.xml><?xml version="1.0" encoding="utf-8"?>
<comments xmlns="http://schemas.openxmlformats.org/spreadsheetml/2006/main">
  <authors>
    <author>ModelForge</author>
  </authors>
  <commentList>
    <comment ref="E10" authorId="0" shapeId="0">
      <text>
        <t>Low-arm fractional shock on 'revenue_growth_y1'.</t>
      </text>
    </comment>
    <comment ref="F10" authorId="0" shapeId="0">
      <text>
        <t>High-arm fractional shock on 'revenue_growth_y1'.</t>
      </text>
    </comment>
    <comment ref="G10" authorId="0" shapeId="0">
      <text>
        <t>Elasticity of Net Income (Y1 projected) w.r.t. 'revenue_growth_y1'. Kept as a reference even when method=shadow (gives a quick cross-check against the shadow-computed delta).</t>
      </text>
    </comment>
    <comment ref="J10" authorId="0" shapeId="0">
      <text>
        <t>LIVE linear-elasticity Δ (=primary_output*E10*G10); recomputes on scenario flip / driver edit. Exact non-linear shadow-engine Δ for 'revenue_growth_y1' at (1-20.0%) = -0.0119 (fractional) — available via `modelforge` CLI/dossier.</t>
      </text>
    </comment>
    <comment ref="K10" authorId="0" shapeId="0">
      <text>
        <t>LIVE linear-elasticity Δ (=primary_output*F10*G10); recomputes on scenario flip / driver edit. Exact non-linear shadow-engine Δ for 'revenue_growth_y1' at (1+20.0%) = +0.0119 (fractional) — available via `modelforge` CLI/dossier.</t>
      </text>
    </comment>
    <comment ref="E11" authorId="0" shapeId="0">
      <text>
        <t>Low-arm fractional shock on 'revenue_growth_y3'.</t>
      </text>
    </comment>
    <comment ref="F11" authorId="0" shapeId="0">
      <text>
        <t>High-arm fractional shock on 'revenue_growth_y3'.</t>
      </text>
    </comment>
    <comment ref="G11" authorId="0" shapeId="0">
      <text>
        <t>Elasticity of Net Income (Y1 projected) w.r.t. 'revenue_growth_y3'. Kept as a reference even when method=shadow (gives a quick cross-check against the shadow-computed delta).</t>
      </text>
    </comment>
    <comment ref="J11" authorId="0" shapeId="0">
      <text>
        <t>LIVE linear-elasticity Δ (=primary_output*E11*G11); recomputes on scenario flip / driver edit. Exact non-linear shadow-engine Δ for 'revenue_growth_y3' at (1-20.0%) = +0.0000 (fractional) — available via `modelforge` CLI/dossier.</t>
      </text>
    </comment>
    <comment ref="K11" authorId="0" shapeId="0">
      <text>
        <t>LIVE linear-elasticity Δ (=primary_output*F11*G11); recomputes on scenario flip / driver edit. Exact non-linear shadow-engine Δ for 'revenue_growth_y3' at (1+20.0%) = +0.0000 (fractional) — available via `modelforge` CLI/dossier.</t>
      </text>
    </comment>
    <comment ref="E12" authorId="0" shapeId="0">
      <text>
        <t>Low-arm fractional shock on 'ebitda_margin_y1'.</t>
      </text>
    </comment>
    <comment ref="F12" authorId="0" shapeId="0">
      <text>
        <t>High-arm fractional shock on 'ebitda_margin_y1'.</t>
      </text>
    </comment>
    <comment ref="G12" authorId="0" shapeId="0">
      <text>
        <t>Elasticity of Net Income (Y1 projected) w.r.t. 'ebitda_margin_y1'. Kept as a reference even when method=shadow (gives a quick cross-check against the shadow-computed delta).</t>
      </text>
    </comment>
    <comment ref="J12" authorId="0" shapeId="0">
      <text>
        <t>LIVE linear-elasticity Δ (=primary_output*E12*G12); recomputes on scenario flip / driver edit. Exact non-linear shadow-engine Δ for 'ebitda_margin_y1' at (1-25.0%) = -0.5158 (fractional) — available via `modelforge` CLI/dossier.</t>
      </text>
    </comment>
    <comment ref="K12" authorId="0" shapeId="0">
      <text>
        <t>LIVE linear-elasticity Δ (=primary_output*F12*G12); recomputes on scenario flip / driver edit. Exact non-linear shadow-engine Δ for 'ebitda_margin_y1' at (1+25.0%) = +0.5158 (fractional) — available via `modelforge` CLI/dossier.</t>
      </text>
    </comment>
    <comment ref="E13" authorId="0" shapeId="0">
      <text>
        <t>Low-arm fractional shock on 'ebitda_margin_y3'.</t>
      </text>
    </comment>
    <comment ref="F13" authorId="0" shapeId="0">
      <text>
        <t>High-arm fractional shock on 'ebitda_margin_y3'.</t>
      </text>
    </comment>
    <comment ref="G13" authorId="0" shapeId="0">
      <text>
        <t>Elasticity of Net Income (Y1 projected) w.r.t. 'ebitda_margin_y3'. Kept as a reference even when method=shadow (gives a quick cross-check against the shadow-computed delta).</t>
      </text>
    </comment>
    <comment ref="J13" authorId="0" shapeId="0">
      <text>
        <t>LIVE linear-elasticity Δ (=primary_output*E13*G13); recomputes on scenario flip / driver edit. Exact non-linear shadow-engine Δ for 'ebitda_margin_y3' at (1-25.0%) = +0.0000 (fractional) — available via `modelforge` CLI/dossier.</t>
      </text>
    </comment>
    <comment ref="K13" authorId="0" shapeId="0">
      <text>
        <t>LIVE linear-elasticity Δ (=primary_output*F13*G13); recomputes on scenario flip / driver edit. Exact non-linear shadow-engine Δ for 'ebitda_margin_y3' at (1+25.0%) = +0.0000 (fractional) — available via `modelforge` CLI/dossier.</t>
      </text>
    </comment>
    <comment ref="E14" authorId="0" shapeId="0">
      <text>
        <t>Low-arm fractional shock on 'capex_pct_revenue'.</t>
      </text>
    </comment>
    <comment ref="F14" authorId="0" shapeId="0">
      <text>
        <t>High-arm fractional shock on 'capex_pct_revenue'.</t>
      </text>
    </comment>
    <comment ref="G14" authorId="0" shapeId="0">
      <text>
        <t>Elasticity of Net Income (Y1 projected) w.r.t. 'capex_pct_revenue'. Kept as a reference even when method=shadow (gives a quick cross-check against the shadow-computed delta).</t>
      </text>
    </comment>
    <comment ref="J14" authorId="0" shapeId="0">
      <text>
        <t>LIVE linear-elasticity Δ (=primary_output*E14*G14); recomputes on scenario flip / driver edit. Exact non-linear shadow-engine Δ for 'capex_pct_revenue' at (1-20.0%) = +0.0000 (fractional) — available via `modelforge` CLI/dossier.</t>
      </text>
    </comment>
    <comment ref="K14" authorId="0" shapeId="0">
      <text>
        <t>LIVE linear-elasticity Δ (=primary_output*F14*G14); recomputes on scenario flip / driver edit. Exact non-linear shadow-engine Δ for 'capex_pct_revenue' at (1+20.0%) = +0.0000 (fractional) — available via `modelforge` CLI/dossier.</t>
      </text>
    </comment>
    <comment ref="E15" authorId="0" shapeId="0">
      <text>
        <t>Low-arm fractional shock on 'effective_tax_rate'.</t>
      </text>
    </comment>
    <comment ref="F15" authorId="0" shapeId="0">
      <text>
        <t>High-arm fractional shock on 'effective_tax_rate'.</t>
      </text>
    </comment>
    <comment ref="G15" authorId="0" shapeId="0">
      <text>
        <t>Elasticity of Net Income (Y1 projected) w.r.t. 'effective_tax_rate'. Kept as a reference even when method=shadow (gives a quick cross-check against the shadow-computed delta).</t>
      </text>
    </comment>
    <comment ref="J15" authorId="0" shapeId="0">
      <text>
        <t>LIVE linear-elasticity Δ (=primary_output*E15*G15); recomputes on scenario flip / driver edit. Exact non-linear shadow-engine Δ for 'effective_tax_rate' at (1-10.0%) = +0.0333 (fractional) — available via `modelforge` CLI/dossier.</t>
      </text>
    </comment>
    <comment ref="K15" authorId="0" shapeId="0">
      <text>
        <t>LIVE linear-elasticity Δ (=primary_output*F15*G15); recomputes on scenario flip / driver edit. Exact non-linear shadow-engine Δ for 'effective_tax_rate' at (1+10.0%) = -0.0333 (fractional) — available via `modelforge` CLI/dossier.</t>
      </text>
    </comment>
    <comment ref="E16" authorId="0" shapeId="0">
      <text>
        <t>Low-arm fractional shock on 'da_pct_revenue'.</t>
      </text>
    </comment>
    <comment ref="F16" authorId="0" shapeId="0">
      <text>
        <t>High-arm fractional shock on 'da_pct_revenue'.</t>
      </text>
    </comment>
    <comment ref="G16" authorId="0" shapeId="0">
      <text>
        <t>Elasticity of Net Income (Y1 projected) w.r.t. 'da_pct_revenue'. Kept as a reference even when method=shadow (gives a quick cross-check against the shadow-computed delta).</t>
      </text>
    </comment>
    <comment ref="J16" authorId="0" shapeId="0">
      <text>
        <t>LIVE linear-elasticity Δ (=primary_output*E16*G16); recomputes on scenario flip / driver edit. Exact non-linear shadow-engine Δ for 'da_pct_revenue' at (1-20.0%) = +0.1621 (fractional) — available via `modelforge` CLI/dossier.</t>
      </text>
    </comment>
    <comment ref="K16" authorId="0" shapeId="0">
      <text>
        <t>LIVE linear-elasticity Δ (=primary_output*F16*G16); recomputes on scenario flip / driver edit. Exact non-linear shadow-engine Δ for 'da_pct_revenue' at (1+20.0%) = -0.1621 (fractional) — available via `modelforge` CLI/dossier.</t>
      </text>
    </comment>
    <comment ref="C23" authorId="0" shapeId="0">
      <text>
        <t>LIVE 2D linear-elasticity grid off primary_output + sensitivity_shock_* named ranges — recomputes on a scenario flip or shock edit. The exact non-linear shadow-2D recompute (full joint-driver model response; unshocked centre = +32.0625) is available via the `modelforge` CLI / dossier.</t>
      </text>
    </comment>
  </commentList>
</comments>
</file>

<file path=xl/comments/comment5.xml><?xml version="1.0" encoding="utf-8"?>
<comments xmlns="http://schemas.openxmlformats.org/spreadsheetml/2006/main">
  <authors>
    <author>ModelForge</author>
  </authors>
  <commentList>
    <comment ref="B9" authorId="0" shapeId="0">
      <text>
        <t>LIVE volatility input for the parametric (normal-approx) band. Seeded to the sampled std (0.2114) at build time so the parametric band matches the sampled distribution at the as-built scenario. Edit it (blue input) to widen/narrow the band — P5/P50/P95 recompute live. Distinct from the frozen sampled stats below.</t>
      </text>
    </comment>
    <comment ref="B11" authorId="0" shapeId="0">
      <text>
        <t>LIVE parametric (normal-approx) statistic — native Excel formula (primary_output) off primary_output + mc_vol. Recomputes when you flip scenario_index or edit mc_vol. NOT a sampled value: it is a Gaussian approximation of the downside band, distinct from the sampled histogram below.</t>
      </text>
    </comment>
    <comment ref="B12" authorId="0" shapeId="0">
      <text>
        <t>LIVE parametric (normal-approx) statistic — native Excel formula (primary_output*(1+NORM.S.INV(0.05)*mc_vol)) off primary_output + mc_vol. Recomputes when you flip scenario_index or edit mc_vol. NOT a sampled value: it is a Gaussian approximation of the downside band, distinct from the sampled histogram below.</t>
      </text>
    </comment>
    <comment ref="B13" authorId="0" shapeId="0">
      <text>
        <t>LIVE parametric (normal-approx) statistic — native Excel formula (primary_output*(1+NORM.S.INV(0.5)*mc_vol)) off primary_output + mc_vol. Recomputes when you flip scenario_index or edit mc_vol. NOT a sampled value: it is a Gaussian approximation of the downside band, distinct from the sampled histogram below.</t>
      </text>
    </comment>
    <comment ref="B14" authorId="0" shapeId="0">
      <text>
        <t>LIVE parametric (normal-approx) statistic — native Excel formula (primary_output*(1+NORM.S.INV(0.95)*mc_vol)) off primary_output + mc_vol. Recomputes when you flip scenario_index or edit mc_vol. NOT a sampled value: it is a Gaussian approximation of the downside band, distinct from the sampled histogram below.</t>
      </text>
    </comment>
    <comment ref="B18" authorId="0" shapeId="0">
      <text>
        <t>Computed from 1,000 triangular draws across 7 factors. Seed=20260417. Method=shadow. Δ mode=fractional. STATIC snapshot — does not recompute on scenario flip.</t>
      </text>
    </comment>
    <comment ref="B19" authorId="0" shapeId="0">
      <text>
        <t>Computed from 1,000 triangular draws across 7 factors. Seed=20260417. Method=shadow. Δ mode=fractional. STATIC snapshot — does not recompute on scenario flip.</t>
      </text>
    </comment>
    <comment ref="B20" authorId="0" shapeId="0">
      <text>
        <t>Computed from 1,000 triangular draws across 7 factors. Seed=20260417. Method=shadow. Δ mode=fractional. STATIC snapshot — does not recompute on scenario flip.</t>
      </text>
    </comment>
    <comment ref="B21" authorId="0" shapeId="0">
      <text>
        <t>Computed from 1,000 triangular draws across 7 factors. Seed=20260417. Method=shadow. Δ mode=fractional. STATIC snapshot — does not recompute on scenario flip.</t>
      </text>
    </comment>
    <comment ref="B22" authorId="0" shapeId="0">
      <text>
        <t>Computed from 1,000 triangular draws across 7 factors. Seed=20260417. Method=shadow. Δ mode=fractional. STATIC snapshot — does not recompute on scenario flip.</t>
      </text>
    </comment>
    <comment ref="B23" authorId="0" shapeId="0">
      <text>
        <t>Computed from 1,000 triangular draws across 7 factors. Seed=20260417. Method=shadow. Δ mode=fractional. STATIC snapshot — does not recompute on scenario flip.</t>
      </text>
    </comment>
    <comment ref="B24" authorId="0" shapeId="0">
      <text>
        <t>Computed from 1,000 triangular draws across 7 factors. Seed=20260417. Method=shadow. Δ mode=fractional. STATIC snapshot — does not recompute on scenario flip.</t>
      </text>
    </comment>
    <comment ref="B25" authorId="0" shapeId="0">
      <text>
        <t>Computed from 1,000 triangular draws across 7 factors. Seed=20260417. Method=shadow. Δ mode=fractional. STATIC snapshot — does not recompute on scenario flip.</t>
      </text>
    </comment>
    <comment ref="B26" authorId="0" shapeId="0">
      <text>
        <t>Computed from 1,000 triangular draws across 7 factors. Seed=20260417. Method=shadow. Δ mode=fractional. STATIC snapshot — does not recompute on scenario flip.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12</col>
      <colOff>0</colOff>
      <row>8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4</col>
      <colOff>0</colOff>
      <row>16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#'Sources'!A1" TargetMode="External" Id="rId1"/><Relationship Type="http://schemas.openxmlformats.org/officeDocument/2006/relationships/hyperlink" Target="#'Assumptions'!A1" TargetMode="External" Id="rId2"/><Relationship Type="http://schemas.openxmlformats.org/officeDocument/2006/relationships/hyperlink" Target="#'OperatingModel'!A1" TargetMode="External" Id="rId3"/><Relationship Type="http://schemas.openxmlformats.org/officeDocument/2006/relationships/hyperlink" Target="#'DebtSchedule'!A1" TargetMode="External" Id="rId4"/><Relationship Type="http://schemas.openxmlformats.org/officeDocument/2006/relationships/hyperlink" Target="#'Covenants'!A1" TargetMode="External" Id="rId5"/><Relationship Type="http://schemas.openxmlformats.org/officeDocument/2006/relationships/hyperlink" Target="#'Returns'!A1" TargetMode="External" Id="rId6"/><Relationship Type="http://schemas.openxmlformats.org/officeDocument/2006/relationships/hyperlink" Target="#'QC'!A1" TargetMode="External" Id="rId7"/></Relationships>
</file>

<file path=xl/worksheets/_rels/sheet4.xml.rels><Relationships xmlns="http://schemas.openxmlformats.org/package/2006/relationships"><Relationship Type="http://schemas.openxmlformats.org/officeDocument/2006/relationships/hyperlink" Target="#'Sources'!A6" TargetMode="External" Id="rId1"/><Relationship Type="http://schemas.openxmlformats.org/officeDocument/2006/relationships/hyperlink" Target="#'Sources'!A6" TargetMode="External" Id="rId2"/><Relationship Type="http://schemas.openxmlformats.org/officeDocument/2006/relationships/hyperlink" Target="#'Sources'!A6" TargetMode="External" Id="rId3"/><Relationship Type="http://schemas.openxmlformats.org/officeDocument/2006/relationships/hyperlink" Target="#'Sources'!A6" TargetMode="External" Id="rId4"/><Relationship Type="http://schemas.openxmlformats.org/officeDocument/2006/relationships/hyperlink" Target="#'Sources'!A6" TargetMode="External" Id="rId5"/><Relationship Type="http://schemas.openxmlformats.org/officeDocument/2006/relationships/hyperlink" Target="#'Sources'!A6" TargetMode="External" Id="rId6"/><Relationship Type="http://schemas.openxmlformats.org/officeDocument/2006/relationships/hyperlink" Target="#'Sources'!A6" TargetMode="External" Id="rId7"/><Relationship Type="http://schemas.openxmlformats.org/officeDocument/2006/relationships/hyperlink" Target="#'Sources'!A6" TargetMode="External" Id="rId8"/><Relationship Type="http://schemas.openxmlformats.org/officeDocument/2006/relationships/hyperlink" Target="#'Sources'!A6" TargetMode="External" Id="rId9"/><Relationship Type="http://schemas.openxmlformats.org/officeDocument/2006/relationships/hyperlink" Target="#'Sources'!A6" TargetMode="External" Id="rId10"/><Relationship Type="http://schemas.openxmlformats.org/officeDocument/2006/relationships/hyperlink" Target="#'Sources'!A6" TargetMode="External" Id="rId11"/><Relationship Type="http://schemas.openxmlformats.org/officeDocument/2006/relationships/hyperlink" Target="#'Sources'!A6" TargetMode="External" Id="rId12"/><Relationship Type="http://schemas.openxmlformats.org/officeDocument/2006/relationships/hyperlink" Target="#'Sources'!A6" TargetMode="External" Id="rId13"/><Relationship Type="http://schemas.openxmlformats.org/officeDocument/2006/relationships/hyperlink" Target="#'Sources'!A6" TargetMode="External" Id="rId14"/><Relationship Type="http://schemas.openxmlformats.org/officeDocument/2006/relationships/hyperlink" Target="#'Sources'!A6" TargetMode="External" Id="rId15"/><Relationship Type="http://schemas.openxmlformats.org/officeDocument/2006/relationships/hyperlink" Target="#'Sources'!A6" TargetMode="External" Id="rId16"/><Relationship Type="http://schemas.openxmlformats.org/officeDocument/2006/relationships/hyperlink" Target="#'Sources'!A6" TargetMode="External" Id="rId17"/><Relationship Type="http://schemas.openxmlformats.org/officeDocument/2006/relationships/hyperlink" Target="#'Sources'!A6" TargetMode="External" Id="rId18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" customWidth="1" min="1" max="1"/>
    <col width="10" customWidth="1" min="2" max="2"/>
    <col width="32" customWidth="1" min="3" max="3"/>
    <col width="22" customWidth="1" min="4" max="4"/>
    <col width="14" customWidth="1" min="5" max="5"/>
    <col width="18" customWidth="1" min="6" max="6"/>
    <col width="60" customWidth="1" min="7" max="7"/>
    <col width="60" customWidth="1" min="8" max="8"/>
  </cols>
  <sheetData>
    <row r="1">
      <c r="A1" s="69" t="inlineStr">
        <is>
          <t>ModelForge Trust Layer — Red Flags</t>
        </is>
      </c>
    </row>
    <row r="2">
      <c r="A2" s="70" t="inlineStr">
        <is>
          <t>Workbook: three_statement_mfg.xlsx</t>
        </is>
      </c>
    </row>
    <row r="3">
      <c r="A3" s="70" t="inlineStr">
        <is>
          <t>Template: three_statement</t>
        </is>
      </c>
    </row>
    <row r="4">
      <c r="A4" s="71" t="inlineStr">
        <is>
          <t>Rules run: 2  •  FAIL: 0  WARN: 0  INFO: 0</t>
        </is>
      </c>
    </row>
    <row r="7">
      <c r="A7" s="72" t="inlineStr">
        <is>
          <t>#</t>
        </is>
      </c>
      <c r="B7" s="72" t="inlineStr">
        <is>
          <t>Severity</t>
        </is>
      </c>
      <c r="C7" s="72" t="inlineStr">
        <is>
          <t>Rule</t>
        </is>
      </c>
      <c r="D7" s="72" t="inlineStr">
        <is>
          <t>Cell / Anchor</t>
        </is>
      </c>
      <c r="E7" s="72" t="inlineStr">
        <is>
          <t>Actual</t>
        </is>
      </c>
      <c r="F7" s="72" t="inlineStr">
        <is>
          <t>Expected</t>
        </is>
      </c>
      <c r="G7" s="72" t="inlineStr">
        <is>
          <t>Message</t>
        </is>
      </c>
      <c r="H7" s="72" t="inlineStr">
        <is>
          <t>Recommendation</t>
        </is>
      </c>
    </row>
    <row r="8">
      <c r="B8" s="73" t="inlineStr">
        <is>
          <t>ALL CLEAR</t>
        </is>
      </c>
      <c r="C8" s="70" t="inlineStr">
        <is>
          <t>No plausibility violations triggered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cols>
    <col width="34" customWidth="1" min="1" max="1"/>
    <col width="30" customWidth="1" min="2" max="2"/>
    <col width="8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</cols>
  <sheetData>
    <row r="1">
      <c r="A1" s="1" t="inlineStr">
        <is>
          <t>MfgCo (synthetic benchmark) — Benchmark 3-Statement Model — Generic US Manufacturer (synthetic)</t>
        </is>
      </c>
      <c r="B1" s="2" t="inlineStr">
        <is>
          <t>Modello a 3 prospetti benchmark — manifatturiero USA generico (sintetico)</t>
        </is>
      </c>
    </row>
    <row r="2">
      <c r="A2" s="2" t="inlineStr">
        <is>
          <t>Strictly Private &amp; Confidential · FINAL · v1.0</t>
        </is>
      </c>
    </row>
    <row r="4">
      <c r="A4" s="3" t="inlineStr">
        <is>
          <t>Project code</t>
        </is>
      </c>
      <c r="B4" s="4" t="inlineStr">
        <is>
          <t>Codice progetto</t>
        </is>
      </c>
      <c r="C4" s="5" t="inlineStr">
        <is>
          <t>BM-3S-001</t>
        </is>
      </c>
    </row>
    <row r="5">
      <c r="A5" s="3" t="inlineStr">
        <is>
          <t>Analyst</t>
        </is>
      </c>
      <c r="B5" s="4" t="inlineStr">
        <is>
          <t>Analista</t>
        </is>
      </c>
      <c r="C5" s="5" t="inlineStr">
        <is>
          <t>Benchmark</t>
        </is>
      </c>
    </row>
    <row r="6">
      <c r="A6" s="3" t="inlineStr">
        <is>
          <t>Valuation date</t>
        </is>
      </c>
      <c r="B6" s="4" t="inlineStr">
        <is>
          <t>Data valutazione</t>
        </is>
      </c>
      <c r="C6" s="6" t="inlineStr">
        <is>
          <t>2026-01-01</t>
        </is>
      </c>
    </row>
    <row r="7">
      <c r="A7" s="3" t="inlineStr">
        <is>
          <t>Version</t>
        </is>
      </c>
      <c r="B7" s="4" t="inlineStr">
        <is>
          <t>Versione</t>
        </is>
      </c>
      <c r="C7" s="5" t="inlineStr">
        <is>
          <t>v1.0</t>
        </is>
      </c>
    </row>
    <row r="8">
      <c r="A8" s="3" t="inlineStr">
        <is>
          <t>Status</t>
        </is>
      </c>
      <c r="B8" s="4" t="inlineStr">
        <is>
          <t>Stato</t>
        </is>
      </c>
      <c r="C8" s="5" t="inlineStr">
        <is>
          <t>final</t>
        </is>
      </c>
    </row>
    <row r="9">
      <c r="A9" s="3" t="inlineStr">
        <is>
          <t>Currency</t>
        </is>
      </c>
      <c r="B9" s="4" t="inlineStr">
        <is>
          <t>Valuta</t>
        </is>
      </c>
      <c r="C9" s="5" t="inlineStr">
        <is>
          <t>USD</t>
        </is>
      </c>
    </row>
    <row r="10">
      <c r="A10" s="3" t="inlineStr">
        <is>
          <t>Units</t>
        </is>
      </c>
      <c r="B10" s="4" t="inlineStr">
        <is>
          <t>Unità</t>
        </is>
      </c>
      <c r="C10" s="5" t="inlineStr">
        <is>
          <t>millions</t>
        </is>
      </c>
    </row>
    <row r="11">
      <c r="A11" s="3" t="inlineStr">
        <is>
          <t>Sign convention</t>
        </is>
      </c>
      <c r="B11" s="4" t="inlineStr">
        <is>
          <t>Convenzione di segno</t>
        </is>
      </c>
      <c r="C11" s="5" t="inlineStr">
        <is>
          <t>costs_negative</t>
        </is>
      </c>
    </row>
    <row r="12">
      <c r="A12" s="3" t="inlineStr">
        <is>
          <t>Target</t>
        </is>
      </c>
      <c r="B12" s="4" t="inlineStr">
        <is>
          <t>Target</t>
        </is>
      </c>
      <c r="C12" s="5" t="inlineStr">
        <is>
          <t>MfgCo (synthetic benchmark)</t>
        </is>
      </c>
    </row>
    <row r="13">
      <c r="A13" s="3" t="inlineStr">
        <is>
          <t>Sector</t>
        </is>
      </c>
      <c r="B13" s="4" t="inlineStr">
        <is>
          <t>Settore</t>
        </is>
      </c>
      <c r="C13" s="5" t="inlineStr">
        <is>
          <t>Industrial Manufacturing</t>
        </is>
      </c>
    </row>
    <row r="14">
      <c r="A14" s="3" t="inlineStr">
        <is>
          <t>Country</t>
        </is>
      </c>
      <c r="B14" s="4" t="inlineStr">
        <is>
          <t>Paese</t>
        </is>
      </c>
      <c r="C14" s="5" t="inlineStr">
        <is>
          <t>US</t>
        </is>
      </c>
    </row>
    <row r="16">
      <c r="A16" s="7" t="inlineStr">
        <is>
          <t>Scenario control</t>
        </is>
      </c>
      <c r="B16" s="8" t="inlineStr">
        <is>
          <t>Controllo scenari</t>
        </is>
      </c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</row>
    <row r="17">
      <c r="A17" s="3" t="inlineStr">
        <is>
          <t>Active scenario</t>
        </is>
      </c>
      <c r="B17" s="4" t="inlineStr">
        <is>
          <t>Scenario attivo</t>
        </is>
      </c>
      <c r="C17" s="10" t="n">
        <v>2</v>
      </c>
    </row>
    <row r="18">
      <c r="A18" s="3" t="inlineStr">
        <is>
          <t>Scenario (resolved)</t>
        </is>
      </c>
      <c r="B18" s="4" t="inlineStr">
        <is>
          <t>Scenario (attivo)</t>
        </is>
      </c>
      <c r="C18" s="56">
        <f>CHOOSE(scenario_index,"Worst","Base","Best")</f>
        <v/>
      </c>
    </row>
    <row r="20">
      <c r="A20" s="7" t="inlineStr">
        <is>
          <t>Revision log</t>
        </is>
      </c>
      <c r="B20" s="8" t="inlineStr">
        <is>
          <t>Registro revisioni</t>
        </is>
      </c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</row>
    <row r="21">
      <c r="A21" s="12" t="inlineStr">
        <is>
          <t>Version</t>
        </is>
      </c>
      <c r="B21" s="12" t="inlineStr">
        <is>
          <t>Date</t>
        </is>
      </c>
      <c r="C21" s="12" t="inlineStr">
        <is>
          <t>Analyst</t>
        </is>
      </c>
      <c r="D21" s="12" t="inlineStr">
        <is>
          <t>Note</t>
        </is>
      </c>
    </row>
    <row r="22">
      <c r="A22" s="13" t="inlineStr">
        <is>
          <t>v1.0</t>
        </is>
      </c>
      <c r="B22" s="6" t="inlineStr">
        <is>
          <t>2026-01-01</t>
        </is>
      </c>
      <c r="C22" s="13" t="inlineStr">
        <is>
          <t>Benchmark</t>
        </is>
      </c>
      <c r="D22" s="13" t="inlineStr">
        <is>
          <t>Frozen benchmark input — must match briefs/three_statement_mfg.md exactly.</t>
        </is>
      </c>
    </row>
    <row r="25">
      <c r="A25" s="7" t="inlineStr">
        <is>
          <t>Sheet index</t>
        </is>
      </c>
      <c r="B25" s="8" t="inlineStr">
        <is>
          <t>Indice fogli</t>
        </is>
      </c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</row>
    <row r="26">
      <c r="A26" s="14" t="inlineStr">
        <is>
          <t>Sources</t>
        </is>
      </c>
    </row>
    <row r="27">
      <c r="A27" s="14" t="inlineStr">
        <is>
          <t>Assumptions</t>
        </is>
      </c>
    </row>
    <row r="28">
      <c r="A28" s="14" t="inlineStr">
        <is>
          <t>OperatingModel</t>
        </is>
      </c>
    </row>
    <row r="29">
      <c r="A29" s="14" t="inlineStr">
        <is>
          <t>DebtSchedule</t>
        </is>
      </c>
    </row>
    <row r="30">
      <c r="A30" s="14" t="inlineStr">
        <is>
          <t>Covenants</t>
        </is>
      </c>
    </row>
    <row r="31">
      <c r="A31" s="14" t="inlineStr">
        <is>
          <t>Returns</t>
        </is>
      </c>
    </row>
    <row r="32">
      <c r="A32" s="14" t="inlineStr">
        <is>
          <t>QC</t>
        </is>
      </c>
    </row>
  </sheetData>
  <hyperlinks>
    <hyperlink xmlns:r="http://schemas.openxmlformats.org/officeDocument/2006/relationships" ref="A26" r:id="rId1"/>
    <hyperlink xmlns:r="http://schemas.openxmlformats.org/officeDocument/2006/relationships" ref="A27" r:id="rId2"/>
    <hyperlink xmlns:r="http://schemas.openxmlformats.org/officeDocument/2006/relationships" ref="A28" r:id="rId3"/>
    <hyperlink xmlns:r="http://schemas.openxmlformats.org/officeDocument/2006/relationships" ref="A29" r:id="rId4"/>
    <hyperlink xmlns:r="http://schemas.openxmlformats.org/officeDocument/2006/relationships" ref="A30" r:id="rId5"/>
    <hyperlink xmlns:r="http://schemas.openxmlformats.org/officeDocument/2006/relationships" ref="A31" r:id="rId6"/>
    <hyperlink xmlns:r="http://schemas.openxmlformats.org/officeDocument/2006/relationships" ref="A32" r:id="rId7"/>
  </hyperlinks>
  <printOptions horizontalCentered="1"/>
  <pageMargins left="0.75" right="0.75" top="1" bottom="1" header="0.5" footer="0.5"/>
  <pageSetup orientation="portrait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8" customWidth="1" min="3" max="3"/>
    <col width="22" customWidth="1" min="4" max="4"/>
    <col width="12" customWidth="1" min="5" max="5"/>
    <col width="40" customWidth="1" min="6" max="6"/>
    <col width="10" customWidth="1" min="7" max="7"/>
    <col width="40" customWidth="1" min="8" max="8"/>
  </cols>
  <sheetData>
    <row r="1">
      <c r="A1" s="15" t="inlineStr">
        <is>
          <t>Sources</t>
        </is>
      </c>
    </row>
    <row r="2">
      <c r="A2" s="2" t="inlineStr">
        <is>
          <t>Fonti</t>
        </is>
      </c>
    </row>
    <row r="3">
      <c r="A3" s="2" t="inlineStr">
        <is>
          <t>Every hardcoded number in this model traces back to a row below. Comment on the cell shows the ID; look it up here.</t>
        </is>
      </c>
    </row>
    <row r="4">
      <c r="A4" s="16" t="inlineStr">
        <is>
          <t>ID fonte</t>
        </is>
      </c>
      <c r="B4" s="16" t="inlineStr">
        <is>
          <t>Documento</t>
        </is>
      </c>
      <c r="C4" s="16" t="inlineStr">
        <is>
          <t>Pagina</t>
        </is>
      </c>
      <c r="D4" s="16" t="inlineStr">
        <is>
          <t>Editore</t>
        </is>
      </c>
      <c r="E4" s="16" t="inlineStr">
        <is>
          <t>Data</t>
        </is>
      </c>
      <c r="F4" s="16" t="inlineStr">
        <is>
          <t>URL</t>
        </is>
      </c>
      <c r="G4" s="16" t="inlineStr">
        <is>
          <t>Verificato</t>
        </is>
      </c>
      <c r="H4" s="16" t="inlineStr">
        <is>
          <t>Note</t>
        </is>
      </c>
    </row>
    <row r="5">
      <c r="A5" s="12" t="inlineStr">
        <is>
          <t>Source ID</t>
        </is>
      </c>
      <c r="B5" s="12" t="inlineStr">
        <is>
          <t>Document</t>
        </is>
      </c>
      <c r="C5" s="12" t="inlineStr">
        <is>
          <t>Page</t>
        </is>
      </c>
      <c r="D5" s="12" t="inlineStr">
        <is>
          <t>Publisher</t>
        </is>
      </c>
      <c r="E5" s="12" t="inlineStr">
        <is>
          <t>Date</t>
        </is>
      </c>
      <c r="F5" s="12" t="inlineStr">
        <is>
          <t>URL</t>
        </is>
      </c>
      <c r="G5" s="12" t="inlineStr">
        <is>
          <t>Verified</t>
        </is>
      </c>
      <c r="H5" s="12" t="inlineStr">
        <is>
          <t>Note</t>
        </is>
      </c>
    </row>
    <row r="6">
      <c r="A6" s="17" t="inlineStr">
        <is>
          <t>S-001</t>
        </is>
      </c>
      <c r="B6" s="13" t="inlineStr">
        <is>
          <t>benchmarks/briefs/three_statement_mfg.md</t>
        </is>
      </c>
      <c r="C6" s="10" t="n">
        <v>1</v>
      </c>
      <c r="D6" s="13" t="inlineStr">
        <is>
          <t>ModelForge public benchmark (synthetic deal brief)</t>
        </is>
      </c>
      <c r="E6" s="6" t="inlineStr">
        <is>
          <t>2026-01-01</t>
        </is>
      </c>
      <c r="G6" s="18" t="inlineStr">
        <is>
          <t>✔</t>
        </is>
      </c>
      <c r="H6" s="13" t="inlineStr">
        <is>
          <t>All P&amp;L, balance-sheet and opening-BS inputs are defined in the frozen benchmark brief.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pane xSplit="4" ySplit="5" topLeftCell="E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28" customWidth="1" min="2" max="2"/>
    <col width="40" customWidth="1" min="3" max="3"/>
    <col width="34" customWidth="1" min="4" max="4"/>
    <col width="8" customWidth="1" min="5" max="5"/>
    <col width="11" customWidth="1" min="6" max="6"/>
    <col width="11" customWidth="1" min="7" max="7"/>
    <col width="11" customWidth="1" min="8" max="8"/>
    <col width="11" customWidth="1" min="9" max="9"/>
    <col width="48" customWidth="1" min="10" max="10"/>
    <col width="6" customWidth="1" min="11" max="11"/>
    <col width="8" customWidth="1" min="12" max="12"/>
  </cols>
  <sheetData>
    <row r="1">
      <c r="A1" s="15" t="inlineStr">
        <is>
          <t>Assumptions</t>
        </is>
      </c>
    </row>
    <row r="2">
      <c r="A2" s="2" t="inlineStr">
        <is>
          <t>Ipotesi e driver</t>
        </is>
      </c>
    </row>
    <row r="3">
      <c r="A3" s="2" t="inlineStr">
        <is>
          <t>Single source of truth. Every formula in the workbook reads the 'Active' column via named range. Change numbers here — nowhere else.</t>
        </is>
      </c>
    </row>
    <row r="5">
      <c r="A5" s="12" t="inlineStr">
        <is>
          <t>ID</t>
        </is>
      </c>
      <c r="B5" s="12" t="inlineStr">
        <is>
          <t>Driver</t>
        </is>
      </c>
      <c r="C5" s="12" t="inlineStr">
        <is>
          <t>Description</t>
        </is>
      </c>
      <c r="D5" s="12" t="inlineStr">
        <is>
          <t>Descrizione</t>
        </is>
      </c>
      <c r="E5" s="12" t="inlineStr">
        <is>
          <t>Unit</t>
        </is>
      </c>
      <c r="F5" s="12" t="inlineStr">
        <is>
          <t>Worst</t>
        </is>
      </c>
      <c r="G5" s="12" t="inlineStr">
        <is>
          <t>Base</t>
        </is>
      </c>
      <c r="H5" s="12" t="inlineStr">
        <is>
          <t>Best</t>
        </is>
      </c>
      <c r="I5" s="12" t="inlineStr">
        <is>
          <t>Active</t>
        </is>
      </c>
      <c r="J5" s="12" t="inlineStr">
        <is>
          <t>Rationale</t>
        </is>
      </c>
      <c r="K5" s="12" t="inlineStr">
        <is>
          <t>Conf.</t>
        </is>
      </c>
      <c r="L5" s="12" t="inlineStr">
        <is>
          <t>Source</t>
        </is>
      </c>
    </row>
    <row r="6">
      <c r="A6" s="17" t="inlineStr">
        <is>
          <t>A-001</t>
        </is>
      </c>
      <c r="B6" s="19" t="inlineStr">
        <is>
          <t>revenue_growth_y1</t>
        </is>
      </c>
      <c r="C6" s="3" t="inlineStr">
        <is>
          <t>Revenue growth Y1</t>
        </is>
      </c>
      <c r="D6" s="4" t="inlineStr">
        <is>
          <t>Crescita ricavi A1</t>
        </is>
      </c>
      <c r="E6" s="16" t="inlineStr">
        <is>
          <t>pct</t>
        </is>
      </c>
      <c r="F6" s="20" t="n">
        <v>0.05</v>
      </c>
      <c r="G6" s="20" t="n">
        <v>0.05</v>
      </c>
      <c r="H6" s="20" t="n">
        <v>0.05</v>
      </c>
      <c r="I6" s="57">
        <f>CHOOSE(scenario_index,F6,G6,H6)</f>
        <v/>
      </c>
      <c r="J6" s="22" t="inlineStr">
        <is>
          <t>Frozen benchmark input per brief BM-3S-001.</t>
        </is>
      </c>
      <c r="K6" s="23" t="inlineStr">
        <is>
          <t>H</t>
        </is>
      </c>
      <c r="L6" s="24" t="inlineStr">
        <is>
          <t>S-001</t>
        </is>
      </c>
    </row>
    <row r="7">
      <c r="A7" s="17" t="inlineStr">
        <is>
          <t>A-002</t>
        </is>
      </c>
      <c r="B7" s="19" t="inlineStr">
        <is>
          <t>revenue_growth_y2</t>
        </is>
      </c>
      <c r="C7" s="3" t="inlineStr">
        <is>
          <t>Revenue growth Y2</t>
        </is>
      </c>
      <c r="D7" s="4" t="inlineStr">
        <is>
          <t>Crescita ricavi A2</t>
        </is>
      </c>
      <c r="E7" s="16" t="inlineStr">
        <is>
          <t>pct</t>
        </is>
      </c>
      <c r="F7" s="20" t="n">
        <v>0.045</v>
      </c>
      <c r="G7" s="20" t="n">
        <v>0.045</v>
      </c>
      <c r="H7" s="20" t="n">
        <v>0.045</v>
      </c>
      <c r="I7" s="57">
        <f>CHOOSE(scenario_index,F7,G7,H7)</f>
        <v/>
      </c>
      <c r="J7" s="22" t="inlineStr">
        <is>
          <t>Frozen benchmark input per brief BM-3S-001.</t>
        </is>
      </c>
      <c r="K7" s="23" t="inlineStr">
        <is>
          <t>H</t>
        </is>
      </c>
      <c r="L7" s="24" t="inlineStr">
        <is>
          <t>S-001</t>
        </is>
      </c>
    </row>
    <row r="8">
      <c r="A8" s="17" t="inlineStr">
        <is>
          <t>A-003</t>
        </is>
      </c>
      <c r="B8" s="19" t="inlineStr">
        <is>
          <t>revenue_growth_y3</t>
        </is>
      </c>
      <c r="C8" s="3" t="inlineStr">
        <is>
          <t>Revenue growth Y3</t>
        </is>
      </c>
      <c r="D8" s="4" t="inlineStr">
        <is>
          <t>Crescita ricavi A3</t>
        </is>
      </c>
      <c r="E8" s="16" t="inlineStr">
        <is>
          <t>pct</t>
        </is>
      </c>
      <c r="F8" s="20" t="n">
        <v>0.04</v>
      </c>
      <c r="G8" s="20" t="n">
        <v>0.04</v>
      </c>
      <c r="H8" s="20" t="n">
        <v>0.04</v>
      </c>
      <c r="I8" s="57">
        <f>CHOOSE(scenario_index,F8,G8,H8)</f>
        <v/>
      </c>
      <c r="J8" s="22" t="inlineStr">
        <is>
          <t>Frozen benchmark input per brief BM-3S-001.</t>
        </is>
      </c>
      <c r="K8" s="23" t="inlineStr">
        <is>
          <t>H</t>
        </is>
      </c>
      <c r="L8" s="24" t="inlineStr">
        <is>
          <t>S-001</t>
        </is>
      </c>
    </row>
    <row r="9">
      <c r="A9" s="17" t="inlineStr">
        <is>
          <t>A-004</t>
        </is>
      </c>
      <c r="B9" s="19" t="inlineStr">
        <is>
          <t>revenue_growth_y4</t>
        </is>
      </c>
      <c r="C9" s="3" t="inlineStr">
        <is>
          <t>Revenue growth Y4</t>
        </is>
      </c>
      <c r="D9" s="4" t="inlineStr">
        <is>
          <t>Crescita ricavi A4</t>
        </is>
      </c>
      <c r="E9" s="16" t="inlineStr">
        <is>
          <t>pct</t>
        </is>
      </c>
      <c r="F9" s="20" t="n">
        <v>0.035</v>
      </c>
      <c r="G9" s="20" t="n">
        <v>0.035</v>
      </c>
      <c r="H9" s="20" t="n">
        <v>0.035</v>
      </c>
      <c r="I9" s="57">
        <f>CHOOSE(scenario_index,F9,G9,H9)</f>
        <v/>
      </c>
      <c r="J9" s="22" t="inlineStr">
        <is>
          <t>Frozen benchmark input per brief BM-3S-001.</t>
        </is>
      </c>
      <c r="K9" s="23" t="inlineStr">
        <is>
          <t>H</t>
        </is>
      </c>
      <c r="L9" s="24" t="inlineStr">
        <is>
          <t>S-001</t>
        </is>
      </c>
    </row>
    <row r="10">
      <c r="A10" s="17" t="inlineStr">
        <is>
          <t>A-005</t>
        </is>
      </c>
      <c r="B10" s="19" t="inlineStr">
        <is>
          <t>revenue_growth_y5</t>
        </is>
      </c>
      <c r="C10" s="3" t="inlineStr">
        <is>
          <t>Revenue growth Y5</t>
        </is>
      </c>
      <c r="D10" s="4" t="inlineStr">
        <is>
          <t>Crescita ricavi A5</t>
        </is>
      </c>
      <c r="E10" s="16" t="inlineStr">
        <is>
          <t>pct</t>
        </is>
      </c>
      <c r="F10" s="20" t="n">
        <v>0.03</v>
      </c>
      <c r="G10" s="20" t="n">
        <v>0.03</v>
      </c>
      <c r="H10" s="20" t="n">
        <v>0.03</v>
      </c>
      <c r="I10" s="57">
        <f>CHOOSE(scenario_index,F10,G10,H10)</f>
        <v/>
      </c>
      <c r="J10" s="22" t="inlineStr">
        <is>
          <t>Frozen benchmark input per brief BM-3S-001.</t>
        </is>
      </c>
      <c r="K10" s="23" t="inlineStr">
        <is>
          <t>H</t>
        </is>
      </c>
      <c r="L10" s="24" t="inlineStr">
        <is>
          <t>S-001</t>
        </is>
      </c>
    </row>
    <row r="11">
      <c r="A11" s="17" t="inlineStr">
        <is>
          <t>A-011</t>
        </is>
      </c>
      <c r="B11" s="19" t="inlineStr">
        <is>
          <t>ebitda_margin_y1</t>
        </is>
      </c>
      <c r="C11" s="3" t="inlineStr">
        <is>
          <t>EBITDA margin Y1</t>
        </is>
      </c>
      <c r="D11" s="4" t="inlineStr">
        <is>
          <t>Margine EBITDA A1</t>
        </is>
      </c>
      <c r="E11" s="16" t="inlineStr">
        <is>
          <t>pct</t>
        </is>
      </c>
      <c r="F11" s="20" t="n">
        <v>0.14</v>
      </c>
      <c r="G11" s="20" t="n">
        <v>0.14</v>
      </c>
      <c r="H11" s="20" t="n">
        <v>0.14</v>
      </c>
      <c r="I11" s="57">
        <f>CHOOSE(scenario_index,F11,G11,H11)</f>
        <v/>
      </c>
      <c r="J11" s="22" t="inlineStr">
        <is>
          <t>Frozen benchmark input per brief BM-3S-001.</t>
        </is>
      </c>
      <c r="K11" s="23" t="inlineStr">
        <is>
          <t>H</t>
        </is>
      </c>
      <c r="L11" s="24" t="inlineStr">
        <is>
          <t>S-001</t>
        </is>
      </c>
    </row>
    <row r="12">
      <c r="A12" s="17" t="inlineStr">
        <is>
          <t>A-012</t>
        </is>
      </c>
      <c r="B12" s="19" t="inlineStr">
        <is>
          <t>ebitda_margin_y2</t>
        </is>
      </c>
      <c r="C12" s="3" t="inlineStr">
        <is>
          <t>EBITDA margin Y2</t>
        </is>
      </c>
      <c r="D12" s="4" t="inlineStr">
        <is>
          <t>Margine EBITDA A2</t>
        </is>
      </c>
      <c r="E12" s="16" t="inlineStr">
        <is>
          <t>pct</t>
        </is>
      </c>
      <c r="F12" s="20" t="n">
        <v>0.145</v>
      </c>
      <c r="G12" s="20" t="n">
        <v>0.145</v>
      </c>
      <c r="H12" s="20" t="n">
        <v>0.145</v>
      </c>
      <c r="I12" s="57">
        <f>CHOOSE(scenario_index,F12,G12,H12)</f>
        <v/>
      </c>
      <c r="J12" s="22" t="inlineStr">
        <is>
          <t>Frozen benchmark input per brief BM-3S-001.</t>
        </is>
      </c>
      <c r="K12" s="23" t="inlineStr">
        <is>
          <t>H</t>
        </is>
      </c>
      <c r="L12" s="24" t="inlineStr">
        <is>
          <t>S-001</t>
        </is>
      </c>
    </row>
    <row r="13">
      <c r="A13" s="17" t="inlineStr">
        <is>
          <t>A-013</t>
        </is>
      </c>
      <c r="B13" s="19" t="inlineStr">
        <is>
          <t>ebitda_margin_y3</t>
        </is>
      </c>
      <c r="C13" s="3" t="inlineStr">
        <is>
          <t>EBITDA margin Y3</t>
        </is>
      </c>
      <c r="D13" s="4" t="inlineStr">
        <is>
          <t>Margine EBITDA A3</t>
        </is>
      </c>
      <c r="E13" s="16" t="inlineStr">
        <is>
          <t>pct</t>
        </is>
      </c>
      <c r="F13" s="20" t="n">
        <v>0.15</v>
      </c>
      <c r="G13" s="20" t="n">
        <v>0.15</v>
      </c>
      <c r="H13" s="20" t="n">
        <v>0.15</v>
      </c>
      <c r="I13" s="57">
        <f>CHOOSE(scenario_index,F13,G13,H13)</f>
        <v/>
      </c>
      <c r="J13" s="22" t="inlineStr">
        <is>
          <t>Frozen benchmark input per brief BM-3S-001.</t>
        </is>
      </c>
      <c r="K13" s="23" t="inlineStr">
        <is>
          <t>H</t>
        </is>
      </c>
      <c r="L13" s="24" t="inlineStr">
        <is>
          <t>S-001</t>
        </is>
      </c>
    </row>
    <row r="14">
      <c r="A14" s="17" t="inlineStr">
        <is>
          <t>A-014</t>
        </is>
      </c>
      <c r="B14" s="19" t="inlineStr">
        <is>
          <t>ebitda_margin_y4</t>
        </is>
      </c>
      <c r="C14" s="3" t="inlineStr">
        <is>
          <t>EBITDA margin Y4</t>
        </is>
      </c>
      <c r="D14" s="4" t="inlineStr">
        <is>
          <t>Margine EBITDA A4</t>
        </is>
      </c>
      <c r="E14" s="16" t="inlineStr">
        <is>
          <t>pct</t>
        </is>
      </c>
      <c r="F14" s="20" t="n">
        <v>0.15</v>
      </c>
      <c r="G14" s="20" t="n">
        <v>0.15</v>
      </c>
      <c r="H14" s="20" t="n">
        <v>0.15</v>
      </c>
      <c r="I14" s="57">
        <f>CHOOSE(scenario_index,F14,G14,H14)</f>
        <v/>
      </c>
      <c r="J14" s="22" t="inlineStr">
        <is>
          <t>Frozen benchmark input per brief BM-3S-001.</t>
        </is>
      </c>
      <c r="K14" s="23" t="inlineStr">
        <is>
          <t>H</t>
        </is>
      </c>
      <c r="L14" s="24" t="inlineStr">
        <is>
          <t>S-001</t>
        </is>
      </c>
    </row>
    <row r="15">
      <c r="A15" s="17" t="inlineStr">
        <is>
          <t>A-015</t>
        </is>
      </c>
      <c r="B15" s="19" t="inlineStr">
        <is>
          <t>ebitda_margin_y5</t>
        </is>
      </c>
      <c r="C15" s="3" t="inlineStr">
        <is>
          <t>EBITDA margin Y5</t>
        </is>
      </c>
      <c r="D15" s="4" t="inlineStr">
        <is>
          <t>Margine EBITDA A5</t>
        </is>
      </c>
      <c r="E15" s="16" t="inlineStr">
        <is>
          <t>pct</t>
        </is>
      </c>
      <c r="F15" s="20" t="n">
        <v>0.15</v>
      </c>
      <c r="G15" s="20" t="n">
        <v>0.15</v>
      </c>
      <c r="H15" s="20" t="n">
        <v>0.15</v>
      </c>
      <c r="I15" s="57">
        <f>CHOOSE(scenario_index,F15,G15,H15)</f>
        <v/>
      </c>
      <c r="J15" s="22" t="inlineStr">
        <is>
          <t>Frozen benchmark input per brief BM-3S-001.</t>
        </is>
      </c>
      <c r="K15" s="23" t="inlineStr">
        <is>
          <t>H</t>
        </is>
      </c>
      <c r="L15" s="24" t="inlineStr">
        <is>
          <t>S-001</t>
        </is>
      </c>
    </row>
    <row r="16">
      <c r="A16" s="17" t="inlineStr">
        <is>
          <t>A-020</t>
        </is>
      </c>
      <c r="B16" s="19" t="inlineStr">
        <is>
          <t>da_pct_revenue</t>
        </is>
      </c>
      <c r="C16" s="3" t="inlineStr">
        <is>
          <t>D&amp;A % revenue</t>
        </is>
      </c>
      <c r="D16" s="4" t="inlineStr">
        <is>
          <t>Ammortamenti % ricavi</t>
        </is>
      </c>
      <c r="E16" s="16" t="inlineStr">
        <is>
          <t>pct</t>
        </is>
      </c>
      <c r="F16" s="20" t="n">
        <v>0.055</v>
      </c>
      <c r="G16" s="20" t="n">
        <v>0.055</v>
      </c>
      <c r="H16" s="20" t="n">
        <v>0.055</v>
      </c>
      <c r="I16" s="57">
        <f>CHOOSE(scenario_index,F16,G16,H16)</f>
        <v/>
      </c>
      <c r="J16" s="22" t="inlineStr">
        <is>
          <t>Frozen benchmark input per brief BM-3S-001.</t>
        </is>
      </c>
      <c r="K16" s="23" t="inlineStr">
        <is>
          <t>H</t>
        </is>
      </c>
      <c r="L16" s="24" t="inlineStr">
        <is>
          <t>S-001</t>
        </is>
      </c>
    </row>
    <row r="17">
      <c r="A17" s="17" t="inlineStr">
        <is>
          <t>A-021</t>
        </is>
      </c>
      <c r="B17" s="19" t="inlineStr">
        <is>
          <t>interest_on_debt_pct</t>
        </is>
      </c>
      <c r="C17" s="3" t="inlineStr">
        <is>
          <t>Interest rate on debt</t>
        </is>
      </c>
      <c r="D17" s="4" t="inlineStr">
        <is>
          <t>Tasso sul debito</t>
        </is>
      </c>
      <c r="E17" s="16" t="inlineStr">
        <is>
          <t>pct</t>
        </is>
      </c>
      <c r="F17" s="20" t="n">
        <v>0.06</v>
      </c>
      <c r="G17" s="20" t="n">
        <v>0.06</v>
      </c>
      <c r="H17" s="20" t="n">
        <v>0.06</v>
      </c>
      <c r="I17" s="57">
        <f>CHOOSE(scenario_index,F17,G17,H17)</f>
        <v/>
      </c>
      <c r="J17" s="22" t="inlineStr">
        <is>
          <t>Frozen benchmark input per brief BM-3S-001. Charged on opening debt balance.</t>
        </is>
      </c>
      <c r="K17" s="23" t="inlineStr">
        <is>
          <t>H</t>
        </is>
      </c>
      <c r="L17" s="24" t="inlineStr">
        <is>
          <t>S-001</t>
        </is>
      </c>
    </row>
    <row r="18">
      <c r="A18" s="17" t="inlineStr">
        <is>
          <t>A-022</t>
        </is>
      </c>
      <c r="B18" s="19" t="inlineStr">
        <is>
          <t>effective_tax_rate</t>
        </is>
      </c>
      <c r="C18" s="3" t="inlineStr">
        <is>
          <t>Effective tax rate</t>
        </is>
      </c>
      <c r="D18" s="4" t="inlineStr">
        <is>
          <t>Aliquota effettiva</t>
        </is>
      </c>
      <c r="E18" s="16" t="inlineStr">
        <is>
          <t>pct</t>
        </is>
      </c>
      <c r="F18" s="20" t="n">
        <v>0.25</v>
      </c>
      <c r="G18" s="20" t="n">
        <v>0.25</v>
      </c>
      <c r="H18" s="20" t="n">
        <v>0.25</v>
      </c>
      <c r="I18" s="57">
        <f>CHOOSE(scenario_index,F18,G18,H18)</f>
        <v/>
      </c>
      <c r="J18" s="22" t="inlineStr">
        <is>
          <t>Frozen benchmark input per brief BM-3S-001.</t>
        </is>
      </c>
      <c r="K18" s="23" t="inlineStr">
        <is>
          <t>H</t>
        </is>
      </c>
      <c r="L18" s="24" t="inlineStr">
        <is>
          <t>S-001</t>
        </is>
      </c>
    </row>
    <row r="19">
      <c r="A19" s="17" t="inlineStr">
        <is>
          <t>A-030</t>
        </is>
      </c>
      <c r="B19" s="19" t="inlineStr">
        <is>
          <t>receivables_days</t>
        </is>
      </c>
      <c r="C19" s="3" t="inlineStr">
        <is>
          <t>Receivables days (DSO)</t>
        </is>
      </c>
      <c r="D19" s="4" t="inlineStr">
        <is>
          <t>Giorni crediti (DSO)</t>
        </is>
      </c>
      <c r="E19" s="16" t="inlineStr">
        <is>
          <t>count</t>
        </is>
      </c>
      <c r="F19" s="10" t="n">
        <v>55</v>
      </c>
      <c r="G19" s="10" t="n">
        <v>55</v>
      </c>
      <c r="H19" s="10" t="n">
        <v>55</v>
      </c>
      <c r="I19" s="58">
        <f>CHOOSE(scenario_index,F19,G19,H19)</f>
        <v/>
      </c>
      <c r="J19" s="22" t="inlineStr">
        <is>
          <t>Frozen benchmark input per brief BM-3S-001 (on revenue, 365-day year).</t>
        </is>
      </c>
      <c r="K19" s="23" t="inlineStr">
        <is>
          <t>H</t>
        </is>
      </c>
      <c r="L19" s="24" t="inlineStr">
        <is>
          <t>S-001</t>
        </is>
      </c>
    </row>
    <row r="20">
      <c r="A20" s="17" t="inlineStr">
        <is>
          <t>A-031</t>
        </is>
      </c>
      <c r="B20" s="19" t="inlineStr">
        <is>
          <t>inventory_days</t>
        </is>
      </c>
      <c r="C20" s="3" t="inlineStr">
        <is>
          <t>Inventory days (on revenue)</t>
        </is>
      </c>
      <c r="D20" s="4" t="inlineStr">
        <is>
          <t>Giorni magazzino (su ricavi)</t>
        </is>
      </c>
      <c r="E20" s="16" t="inlineStr">
        <is>
          <t>count</t>
        </is>
      </c>
      <c r="F20" s="10" t="n">
        <v>60</v>
      </c>
      <c r="G20" s="10" t="n">
        <v>60</v>
      </c>
      <c r="H20" s="10" t="n">
        <v>60</v>
      </c>
      <c r="I20" s="58">
        <f>CHOOSE(scenario_index,F20,G20,H20)</f>
        <v/>
      </c>
      <c r="J20" s="22" t="inlineStr">
        <is>
          <t>Frozen benchmark input per brief BM-3S-001 (on revenue, 365-day year).</t>
        </is>
      </c>
      <c r="K20" s="23" t="inlineStr">
        <is>
          <t>H</t>
        </is>
      </c>
      <c r="L20" s="24" t="inlineStr">
        <is>
          <t>S-001</t>
        </is>
      </c>
    </row>
    <row r="21">
      <c r="A21" s="17" t="inlineStr">
        <is>
          <t>A-032</t>
        </is>
      </c>
      <c r="B21" s="19" t="inlineStr">
        <is>
          <t>payables_days</t>
        </is>
      </c>
      <c r="C21" s="3" t="inlineStr">
        <is>
          <t>Payables days (on revenue)</t>
        </is>
      </c>
      <c r="D21" s="4" t="inlineStr">
        <is>
          <t>Giorni debiti (su ricavi)</t>
        </is>
      </c>
      <c r="E21" s="16" t="inlineStr">
        <is>
          <t>count</t>
        </is>
      </c>
      <c r="F21" s="10" t="n">
        <v>40</v>
      </c>
      <c r="G21" s="10" t="n">
        <v>40</v>
      </c>
      <c r="H21" s="10" t="n">
        <v>40</v>
      </c>
      <c r="I21" s="58">
        <f>CHOOSE(scenario_index,F21,G21,H21)</f>
        <v/>
      </c>
      <c r="J21" s="22" t="inlineStr">
        <is>
          <t>Frozen benchmark input per brief BM-3S-001 (on revenue, 365-day year).</t>
        </is>
      </c>
      <c r="K21" s="23" t="inlineStr">
        <is>
          <t>H</t>
        </is>
      </c>
      <c r="L21" s="24" t="inlineStr">
        <is>
          <t>S-001</t>
        </is>
      </c>
    </row>
    <row r="22">
      <c r="A22" s="17" t="inlineStr">
        <is>
          <t>A-033</t>
        </is>
      </c>
      <c r="B22" s="19" t="inlineStr">
        <is>
          <t>capex_pct_revenue</t>
        </is>
      </c>
      <c r="C22" s="3" t="inlineStr">
        <is>
          <t>Capex % revenue</t>
        </is>
      </c>
      <c r="D22" s="4" t="inlineStr">
        <is>
          <t>Capex % ricavi</t>
        </is>
      </c>
      <c r="E22" s="16" t="inlineStr">
        <is>
          <t>pct</t>
        </is>
      </c>
      <c r="F22" s="20" t="n">
        <v>0.06</v>
      </c>
      <c r="G22" s="20" t="n">
        <v>0.06</v>
      </c>
      <c r="H22" s="20" t="n">
        <v>0.06</v>
      </c>
      <c r="I22" s="57">
        <f>CHOOSE(scenario_index,F22,G22,H22)</f>
        <v/>
      </c>
      <c r="J22" s="22" t="inlineStr">
        <is>
          <t>Frozen benchmark input per brief BM-3S-001.</t>
        </is>
      </c>
      <c r="K22" s="23" t="inlineStr">
        <is>
          <t>H</t>
        </is>
      </c>
      <c r="L22" s="24" t="inlineStr">
        <is>
          <t>S-001</t>
        </is>
      </c>
    </row>
    <row r="23">
      <c r="A23" s="17" t="inlineStr">
        <is>
          <t>A-034</t>
        </is>
      </c>
      <c r="B23" s="19" t="inlineStr">
        <is>
          <t>dividend_payout_ratio</t>
        </is>
      </c>
      <c r="C23" s="3" t="inlineStr">
        <is>
          <t>Dividend payout ratio</t>
        </is>
      </c>
      <c r="D23" s="4" t="inlineStr">
        <is>
          <t>Payout dividendi</t>
        </is>
      </c>
      <c r="E23" s="16" t="inlineStr">
        <is>
          <t>pct</t>
        </is>
      </c>
      <c r="F23" s="20" t="n">
        <v>0.3</v>
      </c>
      <c r="G23" s="20" t="n">
        <v>0.3</v>
      </c>
      <c r="H23" s="20" t="n">
        <v>0.3</v>
      </c>
      <c r="I23" s="57">
        <f>CHOOSE(scenario_index,F23,G23,H23)</f>
        <v/>
      </c>
      <c r="J23" s="22" t="inlineStr">
        <is>
          <t>Frozen benchmark input per brief BM-3S-001 (30% of positive net income).</t>
        </is>
      </c>
      <c r="K23" s="23" t="inlineStr">
        <is>
          <t>H</t>
        </is>
      </c>
      <c r="L23" s="24" t="inlineStr">
        <is>
          <t>S-001</t>
        </is>
      </c>
    </row>
  </sheetData>
  <hyperlinks>
    <hyperlink xmlns:r="http://schemas.openxmlformats.org/officeDocument/2006/relationships" ref="L6" r:id="rId1"/>
    <hyperlink xmlns:r="http://schemas.openxmlformats.org/officeDocument/2006/relationships" ref="L7" r:id="rId2"/>
    <hyperlink xmlns:r="http://schemas.openxmlformats.org/officeDocument/2006/relationships" ref="L8" r:id="rId3"/>
    <hyperlink xmlns:r="http://schemas.openxmlformats.org/officeDocument/2006/relationships" ref="L9" r:id="rId4"/>
    <hyperlink xmlns:r="http://schemas.openxmlformats.org/officeDocument/2006/relationships" ref="L10" r:id="rId5"/>
    <hyperlink xmlns:r="http://schemas.openxmlformats.org/officeDocument/2006/relationships" ref="L11" r:id="rId6"/>
    <hyperlink xmlns:r="http://schemas.openxmlformats.org/officeDocument/2006/relationships" ref="L12" r:id="rId7"/>
    <hyperlink xmlns:r="http://schemas.openxmlformats.org/officeDocument/2006/relationships" ref="L13" r:id="rId8"/>
    <hyperlink xmlns:r="http://schemas.openxmlformats.org/officeDocument/2006/relationships" ref="L14" r:id="rId9"/>
    <hyperlink xmlns:r="http://schemas.openxmlformats.org/officeDocument/2006/relationships" ref="L15" r:id="rId10"/>
    <hyperlink xmlns:r="http://schemas.openxmlformats.org/officeDocument/2006/relationships" ref="L16" r:id="rId11"/>
    <hyperlink xmlns:r="http://schemas.openxmlformats.org/officeDocument/2006/relationships" ref="L17" r:id="rId12"/>
    <hyperlink xmlns:r="http://schemas.openxmlformats.org/officeDocument/2006/relationships" ref="L18" r:id="rId13"/>
    <hyperlink xmlns:r="http://schemas.openxmlformats.org/officeDocument/2006/relationships" ref="L19" r:id="rId14"/>
    <hyperlink xmlns:r="http://schemas.openxmlformats.org/officeDocument/2006/relationships" ref="L20" r:id="rId15"/>
    <hyperlink xmlns:r="http://schemas.openxmlformats.org/officeDocument/2006/relationships" ref="L21" r:id="rId16"/>
    <hyperlink xmlns:r="http://schemas.openxmlformats.org/officeDocument/2006/relationships" ref="L22" r:id="rId17"/>
    <hyperlink xmlns:r="http://schemas.openxmlformats.org/officeDocument/2006/relationships" ref="L23" r:id="rId18"/>
  </hyperlink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4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4" customWidth="1" min="1" max="1"/>
    <col width="34" customWidth="1" min="2" max="2"/>
    <col width="6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1">
      <c r="A1" s="1" t="inlineStr">
        <is>
          <t>3-Statement Model</t>
        </is>
      </c>
      <c r="B1" s="2" t="inlineStr">
        <is>
          <t>Modello a tre prospetti</t>
        </is>
      </c>
    </row>
    <row r="2">
      <c r="A2" s="2" t="inlineStr">
        <is>
          <t>P&amp;L · BS · CFS integrated · USD millions</t>
        </is>
      </c>
    </row>
    <row r="3">
      <c r="A3" s="26" t="inlineStr">
        <is>
          <t>ACTIVE SCENARIO →</t>
        </is>
      </c>
      <c r="B3" s="27" t="inlineStr">
        <is>
          <t>SCENARIO ATTIVO →</t>
        </is>
      </c>
      <c r="C3" s="59">
        <f>CHOOSE(scenario_index,"WORST","BASE","BEST")</f>
        <v/>
      </c>
    </row>
    <row r="5">
      <c r="D5" s="12" t="inlineStr">
        <is>
          <t>A 2023</t>
        </is>
      </c>
      <c r="E5" s="12" t="inlineStr">
        <is>
          <t>A 2024</t>
        </is>
      </c>
      <c r="F5" s="12" t="inlineStr">
        <is>
          <t>A 2025</t>
        </is>
      </c>
      <c r="G5" s="12" t="inlineStr">
        <is>
          <t>E 2026</t>
        </is>
      </c>
      <c r="H5" s="12" t="inlineStr">
        <is>
          <t>E 2027</t>
        </is>
      </c>
      <c r="I5" s="12" t="inlineStr">
        <is>
          <t>E 2028</t>
        </is>
      </c>
      <c r="J5" s="12" t="inlineStr">
        <is>
          <t>E 2029</t>
        </is>
      </c>
      <c r="K5" s="12" t="inlineStr">
        <is>
          <t>E 2030</t>
        </is>
      </c>
    </row>
    <row r="7">
      <c r="A7" s="7" t="inlineStr">
        <is>
          <t>Profit &amp; Loss</t>
        </is>
      </c>
      <c r="B7" s="8" t="inlineStr">
        <is>
          <t>Conto economico</t>
        </is>
      </c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</row>
    <row r="8">
      <c r="A8" s="3" t="inlineStr">
        <is>
          <t>Revenue growth %</t>
        </is>
      </c>
      <c r="B8" s="4" t="inlineStr">
        <is>
          <t>Crescita ricavi %</t>
        </is>
      </c>
      <c r="C8" s="2" t="inlineStr">
        <is>
          <t>%</t>
        </is>
      </c>
      <c r="E8" s="29">
        <f>IFERROR($E$9/$D$9-1,0)</f>
        <v/>
      </c>
      <c r="F8" s="29">
        <f>IFERROR($F$9/$E$9-1,0)</f>
        <v/>
      </c>
      <c r="G8" s="30">
        <f>revenue_growth_y1</f>
        <v/>
      </c>
      <c r="H8" s="30">
        <f>revenue_growth_y2</f>
        <v/>
      </c>
      <c r="I8" s="30">
        <f>revenue_growth_y3</f>
        <v/>
      </c>
      <c r="J8" s="30">
        <f>revenue_growth_y4</f>
        <v/>
      </c>
      <c r="K8" s="30">
        <f>revenue_growth_y5</f>
        <v/>
      </c>
    </row>
    <row r="9">
      <c r="A9" s="3" t="inlineStr">
        <is>
          <t>Revenue</t>
        </is>
      </c>
      <c r="B9" s="4" t="inlineStr">
        <is>
          <t>Ricavi</t>
        </is>
      </c>
      <c r="C9" s="2" t="inlineStr">
        <is>
          <t>USD</t>
        </is>
      </c>
      <c r="D9" s="31" t="n">
        <v>540</v>
      </c>
      <c r="E9" s="31" t="n">
        <v>570</v>
      </c>
      <c r="F9" s="31" t="n">
        <v>600</v>
      </c>
      <c r="G9" s="32">
        <f>$F$9*(1+$G$8)</f>
        <v/>
      </c>
      <c r="H9" s="32">
        <f>$G$9*(1+$H$8)</f>
        <v/>
      </c>
      <c r="I9" s="32">
        <f>$H$9*(1+$I$8)</f>
        <v/>
      </c>
      <c r="J9" s="32">
        <f>$I$9*(1+$J$8)</f>
        <v/>
      </c>
      <c r="K9" s="32">
        <f>$J$9*(1+$K$8)</f>
        <v/>
      </c>
    </row>
    <row r="10">
      <c r="A10" s="3" t="inlineStr">
        <is>
          <t>EBITDA margin %</t>
        </is>
      </c>
      <c r="B10" s="4" t="inlineStr">
        <is>
          <t>Margine EBITDA %</t>
        </is>
      </c>
      <c r="C10" s="2" t="inlineStr">
        <is>
          <t>%</t>
        </is>
      </c>
      <c r="D10" s="20" t="n">
        <v>0.13</v>
      </c>
      <c r="E10" s="20" t="n">
        <v>0.135</v>
      </c>
      <c r="F10" s="20" t="n">
        <v>0.14</v>
      </c>
      <c r="G10" s="30">
        <f>ebitda_margin_y1</f>
        <v/>
      </c>
      <c r="H10" s="30">
        <f>ebitda_margin_y2</f>
        <v/>
      </c>
      <c r="I10" s="30">
        <f>ebitda_margin_y3</f>
        <v/>
      </c>
      <c r="J10" s="30">
        <f>ebitda_margin_y4</f>
        <v/>
      </c>
      <c r="K10" s="30">
        <f>ebitda_margin_y5</f>
        <v/>
      </c>
    </row>
    <row r="11">
      <c r="A11" s="3" t="inlineStr">
        <is>
          <t>EBITDA</t>
        </is>
      </c>
      <c r="B11" s="4" t="inlineStr">
        <is>
          <t>EBITDA</t>
        </is>
      </c>
      <c r="D11" s="31" t="n">
        <v>70.2</v>
      </c>
      <c r="E11" s="31" t="n">
        <v>76.95</v>
      </c>
      <c r="F11" s="31" t="n">
        <v>84</v>
      </c>
      <c r="G11" s="32">
        <f>$G$9*$G$10</f>
        <v/>
      </c>
      <c r="H11" s="32">
        <f>$H$9*$H$10</f>
        <v/>
      </c>
      <c r="I11" s="32">
        <f>$I$9*$I$10</f>
        <v/>
      </c>
      <c r="J11" s="32">
        <f>$J$9*$J$10</f>
        <v/>
      </c>
      <c r="K11" s="32">
        <f>$K$9*$K$10</f>
        <v/>
      </c>
    </row>
    <row r="12">
      <c r="A12" s="33" t="inlineStr">
        <is>
          <t>D&amp;A</t>
        </is>
      </c>
      <c r="B12" s="4" t="inlineStr">
        <is>
          <t>Ammortamenti</t>
        </is>
      </c>
      <c r="D12" s="32">
        <f>-$D$9*da_pct_revenue</f>
        <v/>
      </c>
      <c r="E12" s="32">
        <f>-$E$9*da_pct_revenue</f>
        <v/>
      </c>
      <c r="F12" s="32">
        <f>-$F$9*da_pct_revenue</f>
        <v/>
      </c>
      <c r="G12" s="32">
        <f>-$G$9*da_pct_revenue</f>
        <v/>
      </c>
      <c r="H12" s="32">
        <f>-$H$9*da_pct_revenue</f>
        <v/>
      </c>
      <c r="I12" s="32">
        <f>-$I$9*da_pct_revenue</f>
        <v/>
      </c>
      <c r="J12" s="32">
        <f>-$J$9*da_pct_revenue</f>
        <v/>
      </c>
      <c r="K12" s="32">
        <f>-$K$9*da_pct_revenue</f>
        <v/>
      </c>
    </row>
    <row r="13">
      <c r="A13" s="3" t="inlineStr">
        <is>
          <t>EBIT</t>
        </is>
      </c>
      <c r="B13" s="4" t="inlineStr">
        <is>
          <t>EBIT</t>
        </is>
      </c>
      <c r="D13" s="32">
        <f>$D$11+$D$12</f>
        <v/>
      </c>
      <c r="E13" s="32">
        <f>$E$11+$E$12</f>
        <v/>
      </c>
      <c r="F13" s="32">
        <f>$F$11+$F$12</f>
        <v/>
      </c>
      <c r="G13" s="32">
        <f>$G$11+$G$12</f>
        <v/>
      </c>
      <c r="H13" s="32">
        <f>$H$11+$H$12</f>
        <v/>
      </c>
      <c r="I13" s="32">
        <f>$I$11+$I$12</f>
        <v/>
      </c>
      <c r="J13" s="32">
        <f>$J$11+$J$12</f>
        <v/>
      </c>
      <c r="K13" s="32">
        <f>$K$11+$K$12</f>
        <v/>
      </c>
    </row>
    <row r="14">
      <c r="A14" s="33" t="inlineStr">
        <is>
          <t>Interest expense</t>
        </is>
      </c>
      <c r="B14" s="4" t="inlineStr">
        <is>
          <t>Oneri finanziari</t>
        </is>
      </c>
      <c r="D14" s="32">
        <f>-$D$27*interest_on_debt_pct</f>
        <v/>
      </c>
      <c r="E14" s="32">
        <f>-$D$27*interest_on_debt_pct</f>
        <v/>
      </c>
      <c r="F14" s="32">
        <f>-$E$27*interest_on_debt_pct</f>
        <v/>
      </c>
      <c r="G14" s="32">
        <f>-$F$27*interest_on_debt_pct</f>
        <v/>
      </c>
      <c r="H14" s="32">
        <f>-$G$27*interest_on_debt_pct</f>
        <v/>
      </c>
      <c r="I14" s="32">
        <f>-$H$27*interest_on_debt_pct</f>
        <v/>
      </c>
      <c r="J14" s="32">
        <f>-$I$27*interest_on_debt_pct</f>
        <v/>
      </c>
      <c r="K14" s="32">
        <f>-$J$27*interest_on_debt_pct</f>
        <v/>
      </c>
    </row>
    <row r="15">
      <c r="A15" s="3" t="inlineStr">
        <is>
          <t>Profit before tax</t>
        </is>
      </c>
      <c r="B15" s="4" t="inlineStr">
        <is>
          <t>Utile ante imposte</t>
        </is>
      </c>
      <c r="D15" s="32">
        <f>$D$13+$D$14</f>
        <v/>
      </c>
      <c r="E15" s="32">
        <f>$E$13+$E$14</f>
        <v/>
      </c>
      <c r="F15" s="32">
        <f>$F$13+$F$14</f>
        <v/>
      </c>
      <c r="G15" s="32">
        <f>$G$13+$G$14</f>
        <v/>
      </c>
      <c r="H15" s="32">
        <f>$H$13+$H$14</f>
        <v/>
      </c>
      <c r="I15" s="32">
        <f>$I$13+$I$14</f>
        <v/>
      </c>
      <c r="J15" s="32">
        <f>$J$13+$J$14</f>
        <v/>
      </c>
      <c r="K15" s="32">
        <f>$K$13+$K$14</f>
        <v/>
      </c>
    </row>
    <row r="16">
      <c r="A16" s="33" t="inlineStr">
        <is>
          <t>Taxes</t>
        </is>
      </c>
      <c r="B16" s="4" t="inlineStr">
        <is>
          <t>Imposte</t>
        </is>
      </c>
      <c r="D16" s="32">
        <f>-MAX($D$15,0)*effective_tax_rate</f>
        <v/>
      </c>
      <c r="E16" s="32">
        <f>-MAX($E$15,0)*effective_tax_rate</f>
        <v/>
      </c>
      <c r="F16" s="32">
        <f>-MAX($F$15,0)*effective_tax_rate</f>
        <v/>
      </c>
      <c r="G16" s="32">
        <f>-MAX($G$15,0)*effective_tax_rate</f>
        <v/>
      </c>
      <c r="H16" s="32">
        <f>-MAX($H$15,0)*effective_tax_rate</f>
        <v/>
      </c>
      <c r="I16" s="32">
        <f>-MAX($I$15,0)*effective_tax_rate</f>
        <v/>
      </c>
      <c r="J16" s="32">
        <f>-MAX($J$15,0)*effective_tax_rate</f>
        <v/>
      </c>
      <c r="K16" s="32">
        <f>-MAX($K$15,0)*effective_tax_rate</f>
        <v/>
      </c>
    </row>
    <row r="17">
      <c r="A17" s="3" t="inlineStr">
        <is>
          <t>Net income</t>
        </is>
      </c>
      <c r="B17" s="4" t="inlineStr">
        <is>
          <t>Utile netto</t>
        </is>
      </c>
      <c r="D17" s="60">
        <f>$D$15+$D$16</f>
        <v/>
      </c>
      <c r="E17" s="60">
        <f>$E$15+$E$16</f>
        <v/>
      </c>
      <c r="F17" s="60">
        <f>$F$15+$F$16</f>
        <v/>
      </c>
      <c r="G17" s="60">
        <f>$G$15+$G$16</f>
        <v/>
      </c>
      <c r="H17" s="60">
        <f>$H$15+$H$16</f>
        <v/>
      </c>
      <c r="I17" s="60">
        <f>$I$15+$I$16</f>
        <v/>
      </c>
      <c r="J17" s="60">
        <f>$J$15+$J$16</f>
        <v/>
      </c>
      <c r="K17" s="60">
        <f>$K$15+$K$16</f>
        <v/>
      </c>
    </row>
    <row r="19">
      <c r="A19" s="7" t="inlineStr">
        <is>
          <t>Balance Sheet</t>
        </is>
      </c>
      <c r="B19" s="8" t="inlineStr">
        <is>
          <t>Stato patrimoniale</t>
        </is>
      </c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33" t="inlineStr">
        <is>
          <t>Cash</t>
        </is>
      </c>
      <c r="B20" s="4" t="inlineStr">
        <is>
          <t>Cassa</t>
        </is>
      </c>
      <c r="D20" s="31" t="n">
        <v>40</v>
      </c>
      <c r="E20" s="32">
        <f>$D$20+$E$42</f>
        <v/>
      </c>
      <c r="F20" s="32">
        <f>$E$20+$F$42</f>
        <v/>
      </c>
      <c r="G20" s="32">
        <f>$F$20+$G$42</f>
        <v/>
      </c>
      <c r="H20" s="32">
        <f>$G$20+$H$42</f>
        <v/>
      </c>
      <c r="I20" s="32">
        <f>$H$20+$I$42</f>
        <v/>
      </c>
      <c r="J20" s="32">
        <f>$I$20+$J$42</f>
        <v/>
      </c>
      <c r="K20" s="32">
        <f>$J$20+$K$42</f>
        <v/>
      </c>
    </row>
    <row r="21">
      <c r="A21" s="33" t="inlineStr">
        <is>
          <t>Accounts receivable</t>
        </is>
      </c>
      <c r="B21" s="4" t="inlineStr">
        <is>
          <t>Crediti</t>
        </is>
      </c>
      <c r="D21" s="31" t="n">
        <v>90</v>
      </c>
      <c r="E21" s="32">
        <f>$E$9/365*receivables_days</f>
        <v/>
      </c>
      <c r="F21" s="32">
        <f>$F$9/365*receivables_days</f>
        <v/>
      </c>
      <c r="G21" s="32">
        <f>$G$9/365*receivables_days</f>
        <v/>
      </c>
      <c r="H21" s="32">
        <f>$H$9/365*receivables_days</f>
        <v/>
      </c>
      <c r="I21" s="32">
        <f>$I$9/365*receivables_days</f>
        <v/>
      </c>
      <c r="J21" s="32">
        <f>$J$9/365*receivables_days</f>
        <v/>
      </c>
      <c r="K21" s="32">
        <f>$K$9/365*receivables_days</f>
        <v/>
      </c>
    </row>
    <row r="22">
      <c r="A22" s="33" t="inlineStr">
        <is>
          <t>Inventory</t>
        </is>
      </c>
      <c r="B22" s="4" t="inlineStr">
        <is>
          <t>Magazzino</t>
        </is>
      </c>
      <c r="D22" s="31" t="n">
        <v>75</v>
      </c>
      <c r="E22" s="32">
        <f>$E$9/365*inventory_days</f>
        <v/>
      </c>
      <c r="F22" s="32">
        <f>$F$9/365*inventory_days</f>
        <v/>
      </c>
      <c r="G22" s="32">
        <f>$G$9/365*inventory_days</f>
        <v/>
      </c>
      <c r="H22" s="32">
        <f>$H$9/365*inventory_days</f>
        <v/>
      </c>
      <c r="I22" s="32">
        <f>$I$9/365*inventory_days</f>
        <v/>
      </c>
      <c r="J22" s="32">
        <f>$J$9/365*inventory_days</f>
        <v/>
      </c>
      <c r="K22" s="32">
        <f>$K$9/365*inventory_days</f>
        <v/>
      </c>
    </row>
    <row r="23">
      <c r="A23" s="33" t="inlineStr">
        <is>
          <t>Net PP&amp;E</t>
        </is>
      </c>
      <c r="B23" s="4" t="inlineStr">
        <is>
          <t>Immobilizzazioni nette</t>
        </is>
      </c>
      <c r="D23" s="31" t="n">
        <v>250</v>
      </c>
      <c r="E23" s="32">
        <f>$D$23+$E$9*capex_pct_revenue+$E$12</f>
        <v/>
      </c>
      <c r="F23" s="32">
        <f>$E$23+$F$9*capex_pct_revenue+$F$12</f>
        <v/>
      </c>
      <c r="G23" s="32">
        <f>$F$23+$G$9*capex_pct_revenue+$G$12</f>
        <v/>
      </c>
      <c r="H23" s="32">
        <f>$G$23+$H$9*capex_pct_revenue+$H$12</f>
        <v/>
      </c>
      <c r="I23" s="32">
        <f>$H$23+$I$9*capex_pct_revenue+$I$12</f>
        <v/>
      </c>
      <c r="J23" s="32">
        <f>$I$23+$J$9*capex_pct_revenue+$J$12</f>
        <v/>
      </c>
      <c r="K23" s="32">
        <f>$J$23+$K$9*capex_pct_revenue+$K$12</f>
        <v/>
      </c>
    </row>
    <row r="24">
      <c r="A24" s="3" t="inlineStr">
        <is>
          <t>TOTAL ASSETS</t>
        </is>
      </c>
      <c r="B24" s="4" t="inlineStr">
        <is>
          <t>TOTALE ATTIVO</t>
        </is>
      </c>
      <c r="D24" s="60">
        <f>$D$20+$D$21+$D$22+$D$23</f>
        <v/>
      </c>
      <c r="E24" s="60">
        <f>$E$20+$E$21+$E$22+$E$23</f>
        <v/>
      </c>
      <c r="F24" s="60">
        <f>$F$20+$F$21+$F$22+$F$23</f>
        <v/>
      </c>
      <c r="G24" s="60">
        <f>$G$20+$G$21+$G$22+$G$23</f>
        <v/>
      </c>
      <c r="H24" s="60">
        <f>$H$20+$H$21+$H$22+$H$23</f>
        <v/>
      </c>
      <c r="I24" s="60">
        <f>$I$20+$I$21+$I$22+$I$23</f>
        <v/>
      </c>
      <c r="J24" s="60">
        <f>$J$20+$J$21+$J$22+$J$23</f>
        <v/>
      </c>
      <c r="K24" s="60">
        <f>$K$20+$K$21+$K$22+$K$23</f>
        <v/>
      </c>
    </row>
    <row r="26">
      <c r="A26" s="33" t="inlineStr">
        <is>
          <t>Accounts payable</t>
        </is>
      </c>
      <c r="B26" s="4" t="inlineStr">
        <is>
          <t>Debiti v/fornitori</t>
        </is>
      </c>
      <c r="D26" s="31" t="n">
        <v>55</v>
      </c>
      <c r="E26" s="32">
        <f>$E$9/365*payables_days</f>
        <v/>
      </c>
      <c r="F26" s="32">
        <f>$F$9/365*payables_days</f>
        <v/>
      </c>
      <c r="G26" s="32">
        <f>$G$9/365*payables_days</f>
        <v/>
      </c>
      <c r="H26" s="32">
        <f>$H$9/365*payables_days</f>
        <v/>
      </c>
      <c r="I26" s="32">
        <f>$I$9/365*payables_days</f>
        <v/>
      </c>
      <c r="J26" s="32">
        <f>$J$9/365*payables_days</f>
        <v/>
      </c>
      <c r="K26" s="32">
        <f>$K$9/365*payables_days</f>
        <v/>
      </c>
    </row>
    <row r="27">
      <c r="A27" s="33" t="inlineStr">
        <is>
          <t>Debt</t>
        </is>
      </c>
      <c r="B27" s="4" t="inlineStr">
        <is>
          <t>Debito finanziario</t>
        </is>
      </c>
      <c r="D27" s="31" t="n">
        <v>180</v>
      </c>
      <c r="E27" s="32">
        <f>MAX($D$27-20.0,0)</f>
        <v/>
      </c>
      <c r="F27" s="32">
        <f>MAX($E$27-20.0,0)</f>
        <v/>
      </c>
      <c r="G27" s="32">
        <f>MAX($F$27-20.0,0)</f>
        <v/>
      </c>
      <c r="H27" s="32">
        <f>MAX($G$27-20.0,0)</f>
        <v/>
      </c>
      <c r="I27" s="32">
        <f>MAX($H$27-20.0,0)</f>
        <v/>
      </c>
      <c r="J27" s="32">
        <f>MAX($I$27-20.0,0)</f>
        <v/>
      </c>
      <c r="K27" s="32">
        <f>MAX($J$27-20.0,0)</f>
        <v/>
      </c>
    </row>
    <row r="28">
      <c r="A28" s="33" t="inlineStr">
        <is>
          <t>Equity (retained earnings)</t>
        </is>
      </c>
      <c r="B28" s="4" t="inlineStr">
        <is>
          <t>Patrimonio netto</t>
        </is>
      </c>
      <c r="D28" s="31" t="n">
        <v>220</v>
      </c>
      <c r="E28" s="32">
        <f>$D$28+$E$17-MAX($E$17,0)*dividend_payout_ratio</f>
        <v/>
      </c>
      <c r="F28" s="32">
        <f>$E$28+$F$17-MAX($F$17,0)*dividend_payout_ratio</f>
        <v/>
      </c>
      <c r="G28" s="32">
        <f>$F$28+$G$17-MAX($G$17,0)*dividend_payout_ratio</f>
        <v/>
      </c>
      <c r="H28" s="32">
        <f>$G$28+$H$17-MAX($H$17,0)*dividend_payout_ratio</f>
        <v/>
      </c>
      <c r="I28" s="32">
        <f>$H$28+$I$17-MAX($I$17,0)*dividend_payout_ratio</f>
        <v/>
      </c>
      <c r="J28" s="32">
        <f>$I$28+$J$17-MAX($J$17,0)*dividend_payout_ratio</f>
        <v/>
      </c>
      <c r="K28" s="32">
        <f>$J$28+$K$17-MAX($K$17,0)*dividend_payout_ratio</f>
        <v/>
      </c>
    </row>
    <row r="29">
      <c r="A29" s="3" t="inlineStr">
        <is>
          <t>TOTAL L &amp; E</t>
        </is>
      </c>
      <c r="B29" s="4" t="inlineStr">
        <is>
          <t>TOTALE PASSIVO + PN</t>
        </is>
      </c>
      <c r="D29" s="60">
        <f>$D$26+$D$27+$D$28</f>
        <v/>
      </c>
      <c r="E29" s="60">
        <f>$E$26+$E$27+$E$28</f>
        <v/>
      </c>
      <c r="F29" s="60">
        <f>$F$26+$F$27+$F$28</f>
        <v/>
      </c>
      <c r="G29" s="60">
        <f>$G$26+$G$27+$G$28</f>
        <v/>
      </c>
      <c r="H29" s="60">
        <f>$H$26+$H$27+$H$28</f>
        <v/>
      </c>
      <c r="I29" s="60">
        <f>$I$26+$I$27+$I$28</f>
        <v/>
      </c>
      <c r="J29" s="60">
        <f>$J$26+$J$27+$J$28</f>
        <v/>
      </c>
      <c r="K29" s="60">
        <f>$K$26+$K$27+$K$28</f>
        <v/>
      </c>
    </row>
    <row r="30">
      <c r="A30" s="3" t="inlineStr">
        <is>
          <t>BS check (A - L - E)</t>
        </is>
      </c>
      <c r="B30" s="4" t="inlineStr">
        <is>
          <t>Check BS (A - P - PN)</t>
        </is>
      </c>
      <c r="D30" s="32">
        <f>$D$24-$D$29</f>
        <v/>
      </c>
      <c r="E30" s="32">
        <f>$E$24-$E$29</f>
        <v/>
      </c>
      <c r="F30" s="32">
        <f>$F$24-$F$29</f>
        <v/>
      </c>
      <c r="G30" s="32">
        <f>$G$24-$G$29</f>
        <v/>
      </c>
      <c r="H30" s="32">
        <f>$H$24-$H$29</f>
        <v/>
      </c>
      <c r="I30" s="32">
        <f>$I$24-$I$29</f>
        <v/>
      </c>
      <c r="J30" s="32">
        <f>$J$24-$J$29</f>
        <v/>
      </c>
      <c r="K30" s="32">
        <f>$K$24-$K$29</f>
        <v/>
      </c>
    </row>
    <row r="32">
      <c r="A32" s="7" t="inlineStr">
        <is>
          <t>Cash Flow Statement</t>
        </is>
      </c>
      <c r="B32" s="8" t="inlineStr">
        <is>
          <t>Rendiconto finanziario</t>
        </is>
      </c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</row>
    <row r="33">
      <c r="A33" s="3" t="inlineStr">
        <is>
          <t>Net income (from P&amp;L)</t>
        </is>
      </c>
      <c r="B33" s="4" t="inlineStr">
        <is>
          <t>Utile netto (da CE)</t>
        </is>
      </c>
      <c r="D33" s="35">
        <f>$D$17</f>
        <v/>
      </c>
      <c r="E33" s="35">
        <f>$E$17</f>
        <v/>
      </c>
      <c r="F33" s="35">
        <f>$F$17</f>
        <v/>
      </c>
      <c r="G33" s="35">
        <f>$G$17</f>
        <v/>
      </c>
      <c r="H33" s="35">
        <f>$H$17</f>
        <v/>
      </c>
      <c r="I33" s="35">
        <f>$I$17</f>
        <v/>
      </c>
      <c r="J33" s="35">
        <f>$J$17</f>
        <v/>
      </c>
      <c r="K33" s="35">
        <f>$K$17</f>
        <v/>
      </c>
    </row>
    <row r="34">
      <c r="A34" s="33" t="inlineStr">
        <is>
          <t>+ D&amp;A (non-cash)</t>
        </is>
      </c>
      <c r="B34" s="4" t="inlineStr">
        <is>
          <t>+ Ammortamenti</t>
        </is>
      </c>
      <c r="D34" s="32">
        <f>-$D$12</f>
        <v/>
      </c>
      <c r="E34" s="32">
        <f>-$E$12</f>
        <v/>
      </c>
      <c r="F34" s="32">
        <f>-$F$12</f>
        <v/>
      </c>
      <c r="G34" s="32">
        <f>-$G$12</f>
        <v/>
      </c>
      <c r="H34" s="32">
        <f>-$H$12</f>
        <v/>
      </c>
      <c r="I34" s="32">
        <f>-$I$12</f>
        <v/>
      </c>
      <c r="J34" s="32">
        <f>-$J$12</f>
        <v/>
      </c>
      <c r="K34" s="32">
        <f>-$K$12</f>
        <v/>
      </c>
    </row>
    <row r="35">
      <c r="A35" s="33" t="inlineStr">
        <is>
          <t>- ΔNWC</t>
        </is>
      </c>
      <c r="B35" s="4" t="inlineStr">
        <is>
          <t>- ΔCCN</t>
        </is>
      </c>
      <c r="D35" s="61" t="n">
        <v>0</v>
      </c>
      <c r="E35" s="32">
        <f>-($E$21-$D$21+$E$22-$D$22-$E$26+$D$26)</f>
        <v/>
      </c>
      <c r="F35" s="32">
        <f>-($F$21-$E$21+$F$22-$E$22-$F$26+$E$26)</f>
        <v/>
      </c>
      <c r="G35" s="32">
        <f>-($G$21-$F$21+$G$22-$F$22-$G$26+$F$26)</f>
        <v/>
      </c>
      <c r="H35" s="32">
        <f>-($H$21-$G$21+$H$22-$G$22-$H$26+$G$26)</f>
        <v/>
      </c>
      <c r="I35" s="32">
        <f>-($I$21-$H$21+$I$22-$H$22-$I$26+$H$26)</f>
        <v/>
      </c>
      <c r="J35" s="32">
        <f>-($J$21-$I$21+$J$22-$I$22-$J$26+$I$26)</f>
        <v/>
      </c>
      <c r="K35" s="32">
        <f>-($K$21-$J$21+$K$22-$J$22-$K$26+$J$26)</f>
        <v/>
      </c>
    </row>
    <row r="36">
      <c r="A36" s="3" t="inlineStr">
        <is>
          <t>CFO (operating)</t>
        </is>
      </c>
      <c r="B36" s="4" t="inlineStr">
        <is>
          <t>CFO</t>
        </is>
      </c>
      <c r="D36" s="62">
        <f>$D$33+$D$34+$D$35</f>
        <v/>
      </c>
      <c r="E36" s="62">
        <f>$E$33+$E$34+$E$35</f>
        <v/>
      </c>
      <c r="F36" s="62">
        <f>$F$33+$F$34+$F$35</f>
        <v/>
      </c>
      <c r="G36" s="62">
        <f>$G$33+$G$34+$G$35</f>
        <v/>
      </c>
      <c r="H36" s="62">
        <f>$H$33+$H$34+$H$35</f>
        <v/>
      </c>
      <c r="I36" s="62">
        <f>$I$33+$I$34+$I$35</f>
        <v/>
      </c>
      <c r="J36" s="62">
        <f>$J$33+$J$34+$J$35</f>
        <v/>
      </c>
      <c r="K36" s="62">
        <f>$K$33+$K$34+$K$35</f>
        <v/>
      </c>
    </row>
    <row r="37">
      <c r="A37" s="33" t="inlineStr">
        <is>
          <t>Capex</t>
        </is>
      </c>
      <c r="B37" s="4" t="inlineStr">
        <is>
          <t>Capex</t>
        </is>
      </c>
      <c r="D37" s="32">
        <f>-$D$9*capex_pct_revenue</f>
        <v/>
      </c>
      <c r="E37" s="32">
        <f>-$E$9*capex_pct_revenue</f>
        <v/>
      </c>
      <c r="F37" s="32">
        <f>-$F$9*capex_pct_revenue</f>
        <v/>
      </c>
      <c r="G37" s="32">
        <f>-$G$9*capex_pct_revenue</f>
        <v/>
      </c>
      <c r="H37" s="32">
        <f>-$H$9*capex_pct_revenue</f>
        <v/>
      </c>
      <c r="I37" s="32">
        <f>-$I$9*capex_pct_revenue</f>
        <v/>
      </c>
      <c r="J37" s="32">
        <f>-$J$9*capex_pct_revenue</f>
        <v/>
      </c>
      <c r="K37" s="32">
        <f>-$K$9*capex_pct_revenue</f>
        <v/>
      </c>
    </row>
    <row r="38">
      <c r="A38" s="3" t="inlineStr">
        <is>
          <t>CFI (investing)</t>
        </is>
      </c>
      <c r="B38" s="4" t="inlineStr">
        <is>
          <t>CFI</t>
        </is>
      </c>
      <c r="D38" s="32">
        <f>$D$37</f>
        <v/>
      </c>
      <c r="E38" s="32">
        <f>$E$37</f>
        <v/>
      </c>
      <c r="F38" s="32">
        <f>$F$37</f>
        <v/>
      </c>
      <c r="G38" s="32">
        <f>$G$37</f>
        <v/>
      </c>
      <c r="H38" s="32">
        <f>$H$37</f>
        <v/>
      </c>
      <c r="I38" s="32">
        <f>$I$37</f>
        <v/>
      </c>
      <c r="J38" s="32">
        <f>$J$37</f>
        <v/>
      </c>
      <c r="K38" s="32">
        <f>$K$37</f>
        <v/>
      </c>
    </row>
    <row r="39">
      <c r="A39" s="33" t="inlineStr">
        <is>
          <t>- Dividends paid</t>
        </is>
      </c>
      <c r="B39" s="4" t="inlineStr">
        <is>
          <t>- Dividendi</t>
        </is>
      </c>
      <c r="D39" s="32">
        <f>-MAX($D$17,0)*dividend_payout_ratio</f>
        <v/>
      </c>
      <c r="E39" s="32">
        <f>-MAX($E$17,0)*dividend_payout_ratio</f>
        <v/>
      </c>
      <c r="F39" s="32">
        <f>-MAX($F$17,0)*dividend_payout_ratio</f>
        <v/>
      </c>
      <c r="G39" s="32">
        <f>-MAX($G$17,0)*dividend_payout_ratio</f>
        <v/>
      </c>
      <c r="H39" s="32">
        <f>-MAX($H$17,0)*dividend_payout_ratio</f>
        <v/>
      </c>
      <c r="I39" s="32">
        <f>-MAX($I$17,0)*dividend_payout_ratio</f>
        <v/>
      </c>
      <c r="J39" s="32">
        <f>-MAX($J$17,0)*dividend_payout_ratio</f>
        <v/>
      </c>
      <c r="K39" s="32">
        <f>-MAX($K$17,0)*dividend_payout_ratio</f>
        <v/>
      </c>
    </row>
    <row r="40">
      <c r="A40" s="33" t="inlineStr">
        <is>
          <t>Debt repayment</t>
        </is>
      </c>
      <c r="B40" s="4" t="inlineStr">
        <is>
          <t>Rimborso debito</t>
        </is>
      </c>
      <c r="D40" s="32">
        <f>0</f>
        <v/>
      </c>
      <c r="E40" s="32">
        <f>-($D$27-$E$27)</f>
        <v/>
      </c>
      <c r="F40" s="32">
        <f>-($E$27-$F$27)</f>
        <v/>
      </c>
      <c r="G40" s="32">
        <f>-($F$27-$G$27)</f>
        <v/>
      </c>
      <c r="H40" s="32">
        <f>-($G$27-$H$27)</f>
        <v/>
      </c>
      <c r="I40" s="32">
        <f>-($H$27-$I$27)</f>
        <v/>
      </c>
      <c r="J40" s="32">
        <f>-($I$27-$J$27)</f>
        <v/>
      </c>
      <c r="K40" s="32">
        <f>-($J$27-$K$27)</f>
        <v/>
      </c>
    </row>
    <row r="41">
      <c r="A41" s="3" t="inlineStr">
        <is>
          <t>CFF (financing)</t>
        </is>
      </c>
      <c r="B41" s="4" t="inlineStr">
        <is>
          <t>CFF</t>
        </is>
      </c>
      <c r="D41" s="32">
        <f>$D$39+$D$40</f>
        <v/>
      </c>
      <c r="E41" s="32">
        <f>$E$39+$E$40</f>
        <v/>
      </c>
      <c r="F41" s="32">
        <f>$F$39+$F$40</f>
        <v/>
      </c>
      <c r="G41" s="32">
        <f>$G$39+$G$40</f>
        <v/>
      </c>
      <c r="H41" s="32">
        <f>$H$39+$H$40</f>
        <v/>
      </c>
      <c r="I41" s="32">
        <f>$I$39+$I$40</f>
        <v/>
      </c>
      <c r="J41" s="32">
        <f>$J$39+$J$40</f>
        <v/>
      </c>
      <c r="K41" s="32">
        <f>$K$39+$K$40</f>
        <v/>
      </c>
    </row>
    <row r="42">
      <c r="A42" s="3" t="inlineStr">
        <is>
          <t>Net change in cash</t>
        </is>
      </c>
      <c r="B42" s="4" t="inlineStr">
        <is>
          <t>Variazione di cassa</t>
        </is>
      </c>
      <c r="D42" s="60">
        <f>$D$36+$D$38+$D$41</f>
        <v/>
      </c>
      <c r="E42" s="60">
        <f>$E$36+$E$38+$E$41</f>
        <v/>
      </c>
      <c r="F42" s="60">
        <f>$F$36+$F$38+$F$41</f>
        <v/>
      </c>
      <c r="G42" s="60">
        <f>$G$36+$G$38+$G$41</f>
        <v/>
      </c>
      <c r="H42" s="60">
        <f>$H$36+$H$38+$H$41</f>
        <v/>
      </c>
      <c r="I42" s="60">
        <f>$I$36+$I$38+$I$41</f>
        <v/>
      </c>
      <c r="J42" s="60">
        <f>$J$36+$J$38+$J$41</f>
        <v/>
      </c>
      <c r="K42" s="60">
        <f>$K$36+$K$38+$K$41</f>
        <v/>
      </c>
    </row>
    <row r="44">
      <c r="A44" s="7" t="inlineStr">
        <is>
          <t>Supplementary schedules (NOL, DTA/DTL, SBC, MI, Revolver)</t>
        </is>
      </c>
      <c r="B44" s="8" t="inlineStr">
        <is>
          <t>Schedules supplementari</t>
        </is>
      </c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</row>
    <row r="45">
      <c r="A45" s="33" t="inlineStr">
        <is>
          <t>NOL balance (opening)</t>
        </is>
      </c>
      <c r="B45" s="4" t="inlineStr">
        <is>
          <t>Perdite fiscali (apertura)</t>
        </is>
      </c>
      <c r="D45" s="61" t="n">
        <v>0</v>
      </c>
      <c r="E45" s="32">
        <f>$D$49</f>
        <v/>
      </c>
      <c r="F45" s="32">
        <f>$E$49</f>
        <v/>
      </c>
      <c r="G45" s="32">
        <f>$F$49</f>
        <v/>
      </c>
      <c r="H45" s="32">
        <f>$G$49</f>
        <v/>
      </c>
      <c r="I45" s="32">
        <f>$H$49</f>
        <v/>
      </c>
      <c r="J45" s="32">
        <f>$I$49</f>
        <v/>
      </c>
      <c r="K45" s="32">
        <f>$J$49</f>
        <v/>
      </c>
    </row>
    <row r="46">
      <c r="A46" s="33" t="inlineStr">
        <is>
          <t>NOL generated (NI &lt; 0)</t>
        </is>
      </c>
      <c r="B46" s="4" t="inlineStr">
        <is>
          <t>Perdita generata</t>
        </is>
      </c>
      <c r="D46" s="32">
        <f>MAX(-$D$15,0)</f>
        <v/>
      </c>
      <c r="E46" s="32">
        <f>MAX(-$E$15,0)</f>
        <v/>
      </c>
      <c r="F46" s="32">
        <f>MAX(-$F$15,0)</f>
        <v/>
      </c>
      <c r="G46" s="32">
        <f>MAX(-$G$15,0)</f>
        <v/>
      </c>
      <c r="H46" s="32">
        <f>MAX(-$H$15,0)</f>
        <v/>
      </c>
      <c r="I46" s="32">
        <f>MAX(-$I$15,0)</f>
        <v/>
      </c>
      <c r="J46" s="32">
        <f>MAX(-$J$15,0)</f>
        <v/>
      </c>
      <c r="K46" s="32">
        <f>MAX(-$K$15,0)</f>
        <v/>
      </c>
    </row>
    <row r="47">
      <c r="A47" s="33" t="inlineStr">
        <is>
          <t>NOL used (cap on positive EBT)</t>
        </is>
      </c>
      <c r="B47" s="4" t="inlineStr">
        <is>
          <t>Perdite utilizzate (cap su EBT positivo)</t>
        </is>
      </c>
      <c r="D47" s="32">
        <f>MIN($D$45,MAX($D$15,0)*nol_util_cap_pct)</f>
        <v/>
      </c>
      <c r="E47" s="32">
        <f>MIN($E$45,MAX($E$15,0)*nol_util_cap_pct)</f>
        <v/>
      </c>
      <c r="F47" s="32">
        <f>MIN($F$45,MAX($F$15,0)*nol_util_cap_pct)</f>
        <v/>
      </c>
      <c r="G47" s="32">
        <f>MIN($G$45,MAX($G$15,0)*nol_util_cap_pct)</f>
        <v/>
      </c>
      <c r="H47" s="32">
        <f>MIN($H$45,MAX($H$15,0)*nol_util_cap_pct)</f>
        <v/>
      </c>
      <c r="I47" s="32">
        <f>MIN($I$45,MAX($I$15,0)*nol_util_cap_pct)</f>
        <v/>
      </c>
      <c r="J47" s="32">
        <f>MIN($J$45,MAX($J$15,0)*nol_util_cap_pct)</f>
        <v/>
      </c>
      <c r="K47" s="32">
        <f>MIN($K$45,MAX($K$15,0)*nol_util_cap_pct)</f>
        <v/>
      </c>
    </row>
    <row r="48">
      <c r="A48" s="33" t="inlineStr">
        <is>
          <t>NOL expired (&gt;5 years)</t>
        </is>
      </c>
      <c r="B48" s="4" t="inlineStr">
        <is>
          <t>Perdite scadute (&gt;5 anni)</t>
        </is>
      </c>
      <c r="D48" s="61" t="n">
        <v>0</v>
      </c>
      <c r="E48" s="61" t="n">
        <v>0</v>
      </c>
      <c r="F48" s="61" t="n">
        <v>0</v>
      </c>
      <c r="G48" s="61" t="n">
        <v>0</v>
      </c>
      <c r="H48" s="61" t="n">
        <v>0</v>
      </c>
      <c r="I48" s="61" t="n">
        <v>0</v>
      </c>
      <c r="J48" s="61" t="n">
        <v>0</v>
      </c>
      <c r="K48" s="61" t="n">
        <v>0</v>
      </c>
    </row>
    <row r="49">
      <c r="A49" s="33" t="inlineStr">
        <is>
          <t>NOL balance (closing)</t>
        </is>
      </c>
      <c r="B49" s="4" t="inlineStr">
        <is>
          <t>Perdite fiscali (chiusura)</t>
        </is>
      </c>
      <c r="D49" s="32">
        <f>$D$45+$D$46-$D$47-$D$48</f>
        <v/>
      </c>
      <c r="E49" s="32">
        <f>$E$45+$E$46-$E$47-$E$48</f>
        <v/>
      </c>
      <c r="F49" s="32">
        <f>$F$45+$F$46-$F$47-$F$48</f>
        <v/>
      </c>
      <c r="G49" s="32">
        <f>$G$45+$G$46-$G$47-$G$48</f>
        <v/>
      </c>
      <c r="H49" s="32">
        <f>$H$45+$H$46-$H$47-$H$48</f>
        <v/>
      </c>
      <c r="I49" s="32">
        <f>$I$45+$I$46-$I$47-$I$48</f>
        <v/>
      </c>
      <c r="J49" s="32">
        <f>$J$45+$J$46-$J$47-$J$48</f>
        <v/>
      </c>
      <c r="K49" s="32">
        <f>$K$45+$K$46-$K$47-$K$48</f>
        <v/>
      </c>
    </row>
    <row r="50">
      <c r="A50" s="33" t="inlineStr">
        <is>
          <t>DTA (NOL × tax rate)</t>
        </is>
      </c>
      <c r="B50" s="4" t="inlineStr">
        <is>
          <t>Imposte differite attive</t>
        </is>
      </c>
      <c r="D50" s="32">
        <f>$D$49*effective_tax_rate</f>
        <v/>
      </c>
      <c r="E50" s="32">
        <f>$E$49*effective_tax_rate</f>
        <v/>
      </c>
      <c r="F50" s="32">
        <f>$F$49*effective_tax_rate</f>
        <v/>
      </c>
      <c r="G50" s="32">
        <f>$G$49*effective_tax_rate</f>
        <v/>
      </c>
      <c r="H50" s="32">
        <f>$H$49*effective_tax_rate</f>
        <v/>
      </c>
      <c r="I50" s="32">
        <f>$I$49*effective_tax_rate</f>
        <v/>
      </c>
      <c r="J50" s="32">
        <f>$J$49*effective_tax_rate</f>
        <v/>
      </c>
      <c r="K50" s="32">
        <f>$K$49*effective_tax_rate</f>
        <v/>
      </c>
    </row>
    <row r="51">
      <c r="A51" s="33" t="inlineStr">
        <is>
          <t>DTL (accumulated on D&amp;A timing diffs)</t>
        </is>
      </c>
      <c r="B51" s="4" t="inlineStr">
        <is>
          <t>Imposte differite passive</t>
        </is>
      </c>
      <c r="D51" s="61" t="n">
        <v>0</v>
      </c>
      <c r="E51" s="32">
        <f>$D$51+ABS($E$12)*book_tax_diff_da_pct*effective_tax_rate</f>
        <v/>
      </c>
      <c r="F51" s="32">
        <f>$E$51+ABS($F$12)*book_tax_diff_da_pct*effective_tax_rate</f>
        <v/>
      </c>
      <c r="G51" s="32">
        <f>$F$51+ABS($G$12)*book_tax_diff_da_pct*effective_tax_rate</f>
        <v/>
      </c>
      <c r="H51" s="32">
        <f>$G$51+ABS($H$12)*book_tax_diff_da_pct*effective_tax_rate</f>
        <v/>
      </c>
      <c r="I51" s="32">
        <f>$H$51+ABS($I$12)*book_tax_diff_da_pct*effective_tax_rate</f>
        <v/>
      </c>
      <c r="J51" s="32">
        <f>$I$51+ABS($J$12)*book_tax_diff_da_pct*effective_tax_rate</f>
        <v/>
      </c>
      <c r="K51" s="32">
        <f>$J$51+ABS($K$12)*book_tax_diff_da_pct*effective_tax_rate</f>
        <v/>
      </c>
    </row>
    <row r="52">
      <c r="A52" s="33" t="inlineStr">
        <is>
          <t>Stock-based compensation (SBC) expense</t>
        </is>
      </c>
      <c r="B52" s="4" t="inlineStr">
        <is>
          <t>Compensi in azioni (costo)</t>
        </is>
      </c>
      <c r="D52" s="32">
        <f>-$D$9*sbc_pct_revenue</f>
        <v/>
      </c>
      <c r="E52" s="32">
        <f>-$E$9*sbc_pct_revenue</f>
        <v/>
      </c>
      <c r="F52" s="32">
        <f>-$F$9*sbc_pct_revenue</f>
        <v/>
      </c>
      <c r="G52" s="32">
        <f>-$G$9*sbc_pct_revenue</f>
        <v/>
      </c>
      <c r="H52" s="32">
        <f>-$H$9*sbc_pct_revenue</f>
        <v/>
      </c>
      <c r="I52" s="32">
        <f>-$I$9*sbc_pct_revenue</f>
        <v/>
      </c>
      <c r="J52" s="32">
        <f>-$J$9*sbc_pct_revenue</f>
        <v/>
      </c>
      <c r="K52" s="32">
        <f>-$K$9*sbc_pct_revenue</f>
        <v/>
      </c>
    </row>
    <row r="53">
      <c r="A53" s="33" t="inlineStr">
        <is>
          <t>(−) Minority interest in NI</t>
        </is>
      </c>
      <c r="B53" s="4" t="inlineStr">
        <is>
          <t>(−) Interessenze di minoranza su utile</t>
        </is>
      </c>
      <c r="D53" s="61" t="n">
        <v>0</v>
      </c>
      <c r="E53" s="61" t="n">
        <v>0</v>
      </c>
      <c r="F53" s="61" t="n">
        <v>0</v>
      </c>
      <c r="G53" s="61" t="n">
        <v>0</v>
      </c>
      <c r="H53" s="61" t="n">
        <v>0</v>
      </c>
      <c r="I53" s="61" t="n">
        <v>0</v>
      </c>
      <c r="J53" s="61" t="n">
        <v>0</v>
      </c>
      <c r="K53" s="61" t="n">
        <v>0</v>
      </c>
    </row>
    <row r="54">
      <c r="A54" s="3" t="inlineStr">
        <is>
          <t>Net income to parent</t>
        </is>
      </c>
      <c r="B54" s="4" t="inlineStr">
        <is>
          <t>Utile netto di gruppo (parent)</t>
        </is>
      </c>
      <c r="D54" s="32">
        <f>$D$17-$D$53</f>
        <v/>
      </c>
      <c r="E54" s="32">
        <f>$E$17-$E$53</f>
        <v/>
      </c>
      <c r="F54" s="32">
        <f>$F$17-$F$53</f>
        <v/>
      </c>
      <c r="G54" s="32">
        <f>$G$17-$G$53</f>
        <v/>
      </c>
      <c r="H54" s="32">
        <f>$H$17-$H$53</f>
        <v/>
      </c>
      <c r="I54" s="32">
        <f>$I$17-$I$53</f>
        <v/>
      </c>
      <c r="J54" s="32">
        <f>$J$17-$J$53</f>
        <v/>
      </c>
      <c r="K54" s="32">
        <f>$K$17-$K$53</f>
        <v/>
      </c>
    </row>
    <row r="55">
      <c r="A55" s="33" t="inlineStr">
        <is>
          <t>Minority interest (BS equity)</t>
        </is>
      </c>
      <c r="B55" s="4" t="inlineStr">
        <is>
          <t>PN di terzi (SP)</t>
        </is>
      </c>
      <c r="D55" s="61" t="n">
        <v>0</v>
      </c>
      <c r="E55" s="61" t="n">
        <v>0</v>
      </c>
      <c r="F55" s="61" t="n">
        <v>0</v>
      </c>
      <c r="G55" s="61" t="n">
        <v>0</v>
      </c>
      <c r="H55" s="61" t="n">
        <v>0</v>
      </c>
      <c r="I55" s="61" t="n">
        <v>0</v>
      </c>
      <c r="J55" s="61" t="n">
        <v>0</v>
      </c>
      <c r="K55" s="61" t="n">
        <v>0</v>
      </c>
    </row>
    <row r="56">
      <c r="A56" s="33" t="inlineStr">
        <is>
          <t>Revolver draw (plug when cash &lt; 0)</t>
        </is>
      </c>
      <c r="B56" s="4" t="inlineStr">
        <is>
          <t>Utilizzo revolver (se cassa &lt; 0)</t>
        </is>
      </c>
      <c r="D56" s="32">
        <f>MAX(-$D$20,0)</f>
        <v/>
      </c>
      <c r="E56" s="32">
        <f>MAX(-$E$20,0)</f>
        <v/>
      </c>
      <c r="F56" s="32">
        <f>MAX(-$F$20,0)</f>
        <v/>
      </c>
      <c r="G56" s="32">
        <f>MAX(-$G$20,0)</f>
        <v/>
      </c>
      <c r="H56" s="32">
        <f>MAX(-$H$20,0)</f>
        <v/>
      </c>
      <c r="I56" s="32">
        <f>MAX(-$I$20,0)</f>
        <v/>
      </c>
      <c r="J56" s="32">
        <f>MAX(-$J$20,0)</f>
        <v/>
      </c>
      <c r="K56" s="32">
        <f>MAX(-$K$20,0)</f>
        <v/>
      </c>
    </row>
    <row r="57">
      <c r="A57" s="33" t="inlineStr">
        <is>
          <t>Revolver commitment fee (× undrawn)</t>
        </is>
      </c>
      <c r="B57" s="4" t="inlineStr">
        <is>
          <t>Commissione impegno revolver</t>
        </is>
      </c>
      <c r="D57" s="32">
        <f>-MAX(revolver_capacity_eur_m-$D$56,0)*revolver_commitment_fee_pct</f>
        <v/>
      </c>
      <c r="E57" s="32">
        <f>-MAX(revolver_capacity_eur_m-$E$56,0)*revolver_commitment_fee_pct</f>
        <v/>
      </c>
      <c r="F57" s="32">
        <f>-MAX(revolver_capacity_eur_m-$F$56,0)*revolver_commitment_fee_pct</f>
        <v/>
      </c>
      <c r="G57" s="32">
        <f>-MAX(revolver_capacity_eur_m-$G$56,0)*revolver_commitment_fee_pct</f>
        <v/>
      </c>
      <c r="H57" s="32">
        <f>-MAX(revolver_capacity_eur_m-$H$56,0)*revolver_commitment_fee_pct</f>
        <v/>
      </c>
      <c r="I57" s="32">
        <f>-MAX(revolver_capacity_eur_m-$I$56,0)*revolver_commitment_fee_pct</f>
        <v/>
      </c>
      <c r="J57" s="32">
        <f>-MAX(revolver_capacity_eur_m-$J$56,0)*revolver_commitment_fee_pct</f>
        <v/>
      </c>
      <c r="K57" s="32">
        <f>-MAX(revolver_capacity_eur_m-$K$56,0)*revolver_commitment_fee_pct</f>
        <v/>
      </c>
    </row>
    <row r="59">
      <c r="A59" s="7" t="inlineStr">
        <is>
          <t>Model parameters</t>
        </is>
      </c>
      <c r="B59" s="8" t="inlineStr">
        <is>
          <t>Parametri del modello</t>
        </is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</row>
    <row r="60">
      <c r="A60" s="33" t="inlineStr">
        <is>
          <t>SBC (% of revenue)</t>
        </is>
      </c>
      <c r="B60" s="4" t="inlineStr">
        <is>
          <t>Compensi in azioni (% ricavi)</t>
        </is>
      </c>
      <c r="D60" s="20" t="n">
        <v>0</v>
      </c>
    </row>
    <row r="61">
      <c r="A61" s="33" t="inlineStr">
        <is>
          <t>Revolver capacity</t>
        </is>
      </c>
      <c r="B61" s="4" t="inlineStr">
        <is>
          <t>Capacità revolver</t>
        </is>
      </c>
      <c r="D61" s="31" t="n">
        <v>0</v>
      </c>
    </row>
    <row r="62">
      <c r="A62" s="33" t="inlineStr">
        <is>
          <t>Revolver commitment fee</t>
        </is>
      </c>
      <c r="B62" s="4" t="inlineStr">
        <is>
          <t>Commissione impegno revolver</t>
        </is>
      </c>
      <c r="D62" s="20" t="n">
        <v>0</v>
      </c>
    </row>
    <row r="63">
      <c r="A63" s="33" t="inlineStr">
        <is>
          <t>Book-tax D&amp;A diff (DTL)</t>
        </is>
      </c>
      <c r="B63" s="4" t="inlineStr">
        <is>
          <t>Differenza fiscale su amm.ti (DTL)</t>
        </is>
      </c>
      <c r="D63" s="20" t="n">
        <v>0</v>
      </c>
    </row>
    <row r="64">
      <c r="A64" s="33" t="inlineStr">
        <is>
          <t>NOL utilisation cap</t>
        </is>
      </c>
      <c r="B64" s="4" t="inlineStr">
        <is>
          <t>Limite utilizzo perdite (NOL)</t>
        </is>
      </c>
      <c r="D64" s="20" t="n">
        <v>0.8</v>
      </c>
    </row>
  </sheetData>
  <conditionalFormatting sqref="C3">
    <cfRule type="cellIs" priority="1" operator="equal" dxfId="0">
      <formula>"WORST"</formula>
    </cfRule>
    <cfRule type="cellIs" priority="2" operator="equal" dxfId="1">
      <formula>"BASE"</formula>
    </cfRule>
    <cfRule type="cellIs" priority="3" operator="equal" dxfId="2">
      <formula>"BEST"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0" customWidth="1" min="1" max="1"/>
    <col width="44" customWidth="1" min="2" max="2"/>
    <col width="6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1">
      <c r="A1" s="1" t="inlineStr">
        <is>
          <t>Quality Checks</t>
        </is>
      </c>
      <c r="B1" s="2" t="inlineStr">
        <is>
          <t>Controlli qualità</t>
        </is>
      </c>
    </row>
    <row r="2">
      <c r="A2" s="2" t="inlineStr">
        <is>
          <t>All checks must equal 1 before this model leaves the building.</t>
        </is>
      </c>
    </row>
    <row r="4">
      <c r="A4" s="37" t="inlineStr">
        <is>
          <t>ALL CHECKS PASS</t>
        </is>
      </c>
      <c r="B4" s="2" t="inlineStr">
        <is>
          <t>Tutti i controlli OK</t>
        </is>
      </c>
      <c r="C4" s="63">
        <f>IF(SUM($C$7,$C$8,$C$9)=3,1,0)</f>
        <v/>
      </c>
    </row>
    <row r="6">
      <c r="A6" s="17" t="inlineStr">
        <is>
          <t>Check</t>
        </is>
      </c>
      <c r="B6" s="17" t="inlineStr">
        <is>
          <t>Check (IT)</t>
        </is>
      </c>
      <c r="C6" s="17" t="inlineStr">
        <is>
          <t>Pass</t>
        </is>
      </c>
    </row>
    <row r="7">
      <c r="A7" s="3" t="inlineStr">
        <is>
          <t>BS balances every period (|A-L-E|&lt;=0.01)</t>
        </is>
      </c>
      <c r="B7" s="4" t="inlineStr">
        <is>
          <t>SP bilanciato ogni periodo</t>
        </is>
      </c>
      <c r="C7" s="64">
        <f>IF(SUMPRODUCT((ABS('Model'!D30:K30)&lt;=0.01)*1)=8,1,0)</f>
        <v/>
      </c>
    </row>
    <row r="8">
      <c r="A8" s="3" t="inlineStr">
        <is>
          <t>Total Assets &gt; 0 every period</t>
        </is>
      </c>
      <c r="B8" s="4" t="inlineStr">
        <is>
          <t>Totale attivo &gt; 0 ogni periodo</t>
        </is>
      </c>
      <c r="C8" s="64">
        <f>IF(SUMPRODUCT(('Model'!D24:K24&gt;0)*1)=8,1,0)</f>
        <v/>
      </c>
    </row>
    <row r="9">
      <c r="A9" s="3" t="inlineStr">
        <is>
          <t>Total L&amp;E &gt; 0 every period</t>
        </is>
      </c>
      <c r="B9" s="4" t="inlineStr">
        <is>
          <t>Totale P+PN &gt; 0 ogni periodo</t>
        </is>
      </c>
      <c r="C9" s="64">
        <f>IF(SUMPRODUCT(('Model'!D29:K29&gt;0)*1)=8,1,0)</f>
        <v/>
      </c>
    </row>
  </sheetData>
  <conditionalFormatting sqref="C4">
    <cfRule type="cellIs" priority="1" operator="equal" dxfId="3">
      <formula>1</formula>
    </cfRule>
    <cfRule type="cellIs" priority="2" operator="equal" dxfId="4">
      <formula>0</formula>
    </cfRule>
  </conditionalFormatting>
  <conditionalFormatting sqref="C7:C10">
    <cfRule type="cellIs" priority="3" operator="equal" dxfId="5">
      <formula>1</formula>
    </cfRule>
    <cfRule type="cellIs" priority="4" operator="equal" dxfId="6">
      <formula>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2" customWidth="1" min="5" max="5"/>
    <col width="60" customWidth="1" min="6" max="6"/>
  </cols>
  <sheetData>
    <row r="1">
      <c r="A1" s="74" t="inlineStr">
        <is>
          <t>ModelForge MOAT — Live-Formula Verification</t>
        </is>
      </c>
    </row>
    <row r="2">
      <c r="A2" s="70" t="inlineStr">
        <is>
          <t>Workbook: three_statement_mfg.xlsx</t>
        </is>
      </c>
    </row>
    <row r="3">
      <c r="A3" s="71" t="inlineStr">
        <is>
          <t>Core-output formula density: 100.0%</t>
        </is>
      </c>
    </row>
    <row r="4">
      <c r="A4" s="75" t="inlineStr">
        <is>
          <t>Overall: PASS  (4/4 gates)</t>
        </is>
      </c>
    </row>
    <row r="6">
      <c r="A6" s="76" t="inlineStr">
        <is>
          <t>Gate</t>
        </is>
      </c>
      <c r="B6" s="76" t="inlineStr">
        <is>
          <t>Verdict</t>
        </is>
      </c>
      <c r="C6" s="76" t="inlineStr">
        <is>
          <t>Metric</t>
        </is>
      </c>
      <c r="D6" s="76" t="inlineStr">
        <is>
          <t>Threshold</t>
        </is>
      </c>
      <c r="E6" s="76" t="inlineStr">
        <is>
          <t>Detail</t>
        </is>
      </c>
    </row>
    <row r="7" ht="30" customHeight="1">
      <c r="A7" s="77" t="inlineStr">
        <is>
          <t>formula_density</t>
        </is>
      </c>
      <c r="B7" s="77" t="inlineStr">
        <is>
          <t>PASS</t>
        </is>
      </c>
      <c r="C7" s="77" t="inlineStr">
        <is>
          <t>1.00</t>
        </is>
      </c>
      <c r="D7" s="77" t="inlineStr">
        <is>
          <t>0.9000</t>
        </is>
      </c>
      <c r="E7" s="77" t="inlineStr">
        <is>
          <t>All core output sheets meet density threshold</t>
        </is>
      </c>
    </row>
    <row r="8" ht="30" customHeight="1">
      <c r="A8" s="77" t="inlineStr">
        <is>
          <t>reference_graph</t>
        </is>
      </c>
      <c r="B8" s="77" t="inlineStr">
        <is>
          <t>PASS</t>
        </is>
      </c>
      <c r="C8" s="77" t="inlineStr">
        <is>
          <t>0.00</t>
        </is>
      </c>
      <c r="D8" s="77" t="inlineStr">
        <is>
          <t>0.00</t>
        </is>
      </c>
      <c r="E8" s="77" t="inlineStr">
        <is>
          <t>No magic-number literals in output formulas</t>
        </is>
      </c>
    </row>
    <row r="9" ht="30" customHeight="1">
      <c r="A9" s="77" t="inlineStr">
        <is>
          <t>no_orphan_inputs</t>
        </is>
      </c>
      <c r="B9" s="77" t="inlineStr">
        <is>
          <t>PASS</t>
        </is>
      </c>
      <c r="C9" s="77" t="inlineStr">
        <is>
          <t>0.00</t>
        </is>
      </c>
      <c r="D9" s="77" t="inlineStr">
        <is>
          <t>5.00</t>
        </is>
      </c>
      <c r="E9" s="77" t="inlineStr">
        <is>
          <t>All defined names reachable from formulas (≤5 allowed)</t>
        </is>
      </c>
    </row>
    <row r="10" ht="30" customHeight="1">
      <c r="A10" s="77" t="inlineStr">
        <is>
          <t>recalculation</t>
        </is>
      </c>
      <c r="B10" s="77" t="inlineStr">
        <is>
          <t>PASS</t>
        </is>
      </c>
      <c r="C10" s="77" t="inlineStr">
        <is>
          <t>0.00</t>
        </is>
      </c>
      <c r="D10" s="77" t="inlineStr">
        <is>
          <t>0</t>
        </is>
      </c>
      <c r="E10" s="77" t="inlineStr">
        <is>
          <t>All formula values reconcile (tol=1e-04)</t>
        </is>
      </c>
    </row>
    <row r="12">
      <c r="A12" s="71" t="inlineStr">
        <is>
          <t>Per-sheet formula density</t>
        </is>
      </c>
    </row>
    <row r="13">
      <c r="A13" s="76" t="inlineStr">
        <is>
          <t>Sheet</t>
        </is>
      </c>
      <c r="B13" s="76" t="inlineStr">
        <is>
          <t>Class</t>
        </is>
      </c>
      <c r="C13" s="76" t="inlineStr">
        <is>
          <t>Numeric cells</t>
        </is>
      </c>
      <c r="D13" s="76" t="inlineStr">
        <is>
          <t>Formula cells</t>
        </is>
      </c>
      <c r="E13" s="76" t="inlineStr">
        <is>
          <t>Formula %</t>
        </is>
      </c>
      <c r="F13" s="76" t="inlineStr">
        <is>
          <t>Magic-number cells</t>
        </is>
      </c>
    </row>
    <row r="14">
      <c r="A14" s="78" t="inlineStr">
        <is>
          <t>RedFlags</t>
        </is>
      </c>
      <c r="B14" s="78" t="inlineStr">
        <is>
          <t>audit</t>
        </is>
      </c>
      <c r="C14" s="79" t="n">
        <v>0</v>
      </c>
      <c r="D14" s="79" t="n">
        <v>0</v>
      </c>
      <c r="E14" s="78" t="inlineStr">
        <is>
          <t>n/a</t>
        </is>
      </c>
      <c r="F14" s="79" t="n">
        <v>0</v>
      </c>
    </row>
    <row r="15">
      <c r="A15" s="78" t="inlineStr">
        <is>
          <t>Cover</t>
        </is>
      </c>
      <c r="B15" s="78" t="inlineStr">
        <is>
          <t>input</t>
        </is>
      </c>
      <c r="C15" s="79" t="n">
        <v>2</v>
      </c>
      <c r="D15" s="79" t="n">
        <v>1</v>
      </c>
      <c r="E15" s="78" t="inlineStr">
        <is>
          <t>50.0%</t>
        </is>
      </c>
      <c r="F15" s="79" t="n">
        <v>0</v>
      </c>
    </row>
    <row r="16">
      <c r="A16" s="78" t="inlineStr">
        <is>
          <t>Sources</t>
        </is>
      </c>
      <c r="B16" s="78" t="inlineStr">
        <is>
          <t>input</t>
        </is>
      </c>
      <c r="C16" s="79" t="n">
        <v>1</v>
      </c>
      <c r="D16" s="79" t="n">
        <v>0</v>
      </c>
      <c r="E16" s="78" t="inlineStr">
        <is>
          <t>0.0%</t>
        </is>
      </c>
      <c r="F16" s="79" t="n">
        <v>0</v>
      </c>
    </row>
    <row r="17">
      <c r="A17" s="78" t="inlineStr">
        <is>
          <t>Assumptions</t>
        </is>
      </c>
      <c r="B17" s="78" t="inlineStr">
        <is>
          <t>input</t>
        </is>
      </c>
      <c r="C17" s="79" t="n">
        <v>72</v>
      </c>
      <c r="D17" s="79" t="n">
        <v>18</v>
      </c>
      <c r="E17" s="78" t="inlineStr">
        <is>
          <t>25.0%</t>
        </is>
      </c>
      <c r="F17" s="79" t="n">
        <v>0</v>
      </c>
    </row>
    <row r="18">
      <c r="A18" s="78" t="inlineStr">
        <is>
          <t>Model</t>
        </is>
      </c>
      <c r="B18" s="78" t="inlineStr">
        <is>
          <t>unknown</t>
        </is>
      </c>
      <c r="C18" s="79" t="n">
        <v>349</v>
      </c>
      <c r="D18" s="79" t="n">
        <v>301</v>
      </c>
      <c r="E18" s="78" t="inlineStr">
        <is>
          <t>86.2%</t>
        </is>
      </c>
      <c r="F18" s="79" t="n">
        <v>0</v>
      </c>
    </row>
    <row r="19">
      <c r="A19" s="78" t="inlineStr">
        <is>
          <t>QC</t>
        </is>
      </c>
      <c r="B19" s="78" t="inlineStr">
        <is>
          <t>audit</t>
        </is>
      </c>
      <c r="C19" s="79" t="n">
        <v>4</v>
      </c>
      <c r="D19" s="79" t="n">
        <v>4</v>
      </c>
      <c r="E19" s="78" t="inlineStr">
        <is>
          <t>100.0%</t>
        </is>
      </c>
      <c r="F19" s="79" t="n">
        <v>0</v>
      </c>
    </row>
    <row r="20">
      <c r="A20" s="78" t="inlineStr">
        <is>
          <t>ComplianceCheck</t>
        </is>
      </c>
      <c r="B20" s="78" t="inlineStr">
        <is>
          <t>audit</t>
        </is>
      </c>
      <c r="C20" s="79" t="n">
        <v>13</v>
      </c>
      <c r="D20" s="79" t="n">
        <v>5</v>
      </c>
      <c r="E20" s="78" t="inlineStr">
        <is>
          <t>38.5%</t>
        </is>
      </c>
      <c r="F20" s="79" t="n">
        <v>0</v>
      </c>
    </row>
    <row r="21">
      <c r="A21" s="78" t="inlineStr">
        <is>
          <t>SensitivityAnalysis</t>
        </is>
      </c>
      <c r="B21" s="78" t="inlineStr">
        <is>
          <t>audit</t>
        </is>
      </c>
      <c r="C21" s="79" t="n">
        <v>94</v>
      </c>
      <c r="D21" s="79" t="n">
        <v>67</v>
      </c>
      <c r="E21" s="78" t="inlineStr">
        <is>
          <t>71.3%</t>
        </is>
      </c>
      <c r="F21" s="79" t="n">
        <v>0</v>
      </c>
    </row>
    <row r="22">
      <c r="A22" s="78" t="inlineStr">
        <is>
          <t>MonteCarlo</t>
        </is>
      </c>
      <c r="B22" s="78" t="inlineStr">
        <is>
          <t>simulation</t>
        </is>
      </c>
      <c r="C22" s="79" t="n">
        <v>115</v>
      </c>
      <c r="D22" s="79" t="n">
        <v>15</v>
      </c>
      <c r="E22" s="78" t="inlineStr">
        <is>
          <t>13.0%</t>
        </is>
      </c>
      <c r="F22" s="79" t="n">
        <v>0</v>
      </c>
    </row>
    <row r="23">
      <c r="A23" s="78" t="inlineStr">
        <is>
          <t>Reproducibility</t>
        </is>
      </c>
      <c r="B23" s="78" t="inlineStr">
        <is>
          <t>audit</t>
        </is>
      </c>
      <c r="C23" s="79" t="n">
        <v>1</v>
      </c>
      <c r="D23" s="79" t="n">
        <v>1</v>
      </c>
      <c r="E23" s="78" t="inlineStr">
        <is>
          <t>100.0%</t>
        </is>
      </c>
      <c r="F23" s="7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64"/>
  <sheetViews>
    <sheetView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4" customWidth="1" min="1" max="1"/>
    <col width="32" customWidth="1" min="2" max="2"/>
    <col width="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Compliance Check</t>
        </is>
      </c>
      <c r="B1" s="2" t="inlineStr">
        <is>
          <t>Controllo di conformità</t>
        </is>
      </c>
    </row>
    <row r="2">
      <c r="A2" s="2" t="inlineStr">
        <is>
          <t>AIFMD II / IFRS 9 / Basel III-IV / GACS — Italian &amp; EU regulatory plumbing</t>
        </is>
      </c>
    </row>
    <row r="5">
      <c r="A5" s="7" t="inlineStr">
        <is>
          <t>AIFMD II leverage &amp; concentration</t>
        </is>
      </c>
      <c r="B5" s="8" t="inlineStr">
        <is>
          <t>AIFMD II leva &amp; concentrazione</t>
        </is>
      </c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</row>
    <row r="6">
      <c r="A6" s="13" t="inlineStr">
        <is>
          <t>AIF type (open/closed)</t>
        </is>
      </c>
      <c r="B6" s="2" t="inlineStr">
        <is>
          <t>Tipo AIF</t>
        </is>
      </c>
      <c r="D6" s="31" t="inlineStr">
        <is>
          <t>closed</t>
        </is>
      </c>
    </row>
    <row r="7">
      <c r="A7" s="13" t="inlineStr">
        <is>
          <t>AIFMD II leverage cap — open-ended</t>
        </is>
      </c>
      <c r="B7" s="2" t="inlineStr">
        <is>
          <t>Limite leva AIFMD II — aperto</t>
        </is>
      </c>
      <c r="D7" s="40" t="n">
        <v>1.75</v>
      </c>
    </row>
    <row r="8">
      <c r="A8" s="13" t="inlineStr">
        <is>
          <t>AIFMD II leverage cap — closed-ended</t>
        </is>
      </c>
      <c r="B8" s="2" t="inlineStr">
        <is>
          <t>Limite leva AIFMD II — chiuso</t>
        </is>
      </c>
      <c r="D8" s="40" t="n">
        <v>3</v>
      </c>
    </row>
    <row r="9">
      <c r="A9" s="13" t="inlineStr">
        <is>
          <t>AIFMD II leverage cap (applied)</t>
        </is>
      </c>
      <c r="B9" s="2" t="inlineStr">
        <is>
          <t>Limite AIFMD II (applicato)</t>
        </is>
      </c>
      <c r="D9" s="41">
        <f>IF($D$6="open",aif_leverage_cap_open,aif_leverage_cap_closed)</f>
        <v/>
      </c>
    </row>
    <row r="10">
      <c r="A10" s="13" t="inlineStr">
        <is>
          <t>Actual portfolio leverage</t>
        </is>
      </c>
      <c r="B10" s="2" t="inlineStr">
        <is>
          <t>Leva effettiva</t>
        </is>
      </c>
      <c r="D10" s="40" t="n">
        <v>1.5</v>
      </c>
    </row>
    <row r="11">
      <c r="A11" s="17" t="inlineStr">
        <is>
          <t>AIFMD II leverage compliance</t>
        </is>
      </c>
      <c r="D11" s="65">
        <f>IF(aif_actual_leverage&lt;=$D$9,"PASS","FAIL")</f>
        <v/>
      </c>
    </row>
    <row r="13">
      <c r="A13" s="13" t="inlineStr">
        <is>
          <t>Largest single borrower % NAV</t>
        </is>
      </c>
      <c r="B13" s="2" t="inlineStr">
        <is>
          <t>Maggior debitore % NAV</t>
        </is>
      </c>
      <c r="D13" s="40" t="n">
        <v>0.15</v>
      </c>
    </row>
    <row r="14">
      <c r="A14" s="13" t="inlineStr">
        <is>
          <t>AIFMD II single-borrower cap</t>
        </is>
      </c>
      <c r="B14" s="2" t="inlineStr">
        <is>
          <t>Limite singolo debitore</t>
        </is>
      </c>
      <c r="D14" s="40" t="n">
        <v>0.2</v>
      </c>
    </row>
    <row r="15">
      <c r="A15" s="17" t="inlineStr">
        <is>
          <t>Single-borrower compliance</t>
        </is>
      </c>
      <c r="D15" s="62">
        <f>IF(aif_largest_single_borrower_pct_nav&lt;=aif_single_borrower_cap,"PASS","FAIL")</f>
        <v/>
      </c>
    </row>
    <row r="17">
      <c r="A17" s="7" t="inlineStr">
        <is>
          <t>Loan-originating AIF status</t>
        </is>
      </c>
      <c r="B17" s="8" t="inlineStr">
        <is>
          <t>Classificazione AIF con origination</t>
        </is>
      </c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</row>
    <row r="18">
      <c r="A18" s="13" t="inlineStr">
        <is>
          <t>Originated loans % NAV</t>
        </is>
      </c>
      <c r="B18" s="2" t="inlineStr">
        <is>
          <t>Prestiti originati % NAV</t>
        </is>
      </c>
      <c r="D18" s="40" t="n">
        <v>0.55</v>
      </c>
    </row>
    <row r="19">
      <c r="A19" s="17" t="inlineStr">
        <is>
          <t>Loan-originating AIF flag</t>
        </is>
      </c>
      <c r="D19" s="62">
        <f>IF($D$18&gt;=0.50,"YES — closed-ended required if &gt;60%","NO")</f>
        <v/>
      </c>
    </row>
    <row r="21">
      <c r="A21" s="7" t="inlineStr">
        <is>
          <t>IFRS 9 three-stage ECL</t>
        </is>
      </c>
      <c r="B21" s="8" t="inlineStr">
        <is>
          <t>IFRS 9 modello a tre stadi</t>
        </is>
      </c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</row>
    <row r="22">
      <c r="A22" s="17" t="inlineStr">
        <is>
          <t>ECL formula (canonical): ECL = PD × LGD × EAD × DF</t>
        </is>
      </c>
      <c r="B22" s="2" t="inlineStr">
        <is>
          <t>Formula ECL: PD × LGD × EAD × Fattore sconto</t>
        </is>
      </c>
    </row>
    <row r="23">
      <c r="A23" s="2" t="inlineStr">
        <is>
          <t xml:space="preserve">  where PD = probability of default, LGD = loss given default, EAD = exposure at default, DF = discount factor</t>
        </is>
      </c>
    </row>
    <row r="25">
      <c r="A25" s="13" t="inlineStr">
        <is>
          <t>Stage 1 (12-month ECL — no SICR)</t>
        </is>
      </c>
      <c r="B25" s="2" t="inlineStr">
        <is>
          <t>Stadio 1 (ECL 12m — no SICR)</t>
        </is>
      </c>
      <c r="D25" s="2" t="inlineStr">
        <is>
          <t>12m PD × LGD × EAD × DF</t>
        </is>
      </c>
    </row>
    <row r="26">
      <c r="A26" s="13" t="inlineStr">
        <is>
          <t>Stage 2 (Lifetime ECL — SICR triggered)</t>
        </is>
      </c>
      <c r="B26" s="2" t="inlineStr">
        <is>
          <t>Stadio 2 (ECL lifetime — SICR)</t>
        </is>
      </c>
      <c r="D26" s="2" t="inlineStr">
        <is>
          <t>Lifetime PD × LGD × EAD × DF | 30+DPD backstop</t>
        </is>
      </c>
    </row>
    <row r="27">
      <c r="A27" s="13" t="inlineStr">
        <is>
          <t>Stage 3 (Lifetime ECL — credit-impaired)</t>
        </is>
      </c>
      <c r="B27" s="2" t="inlineStr">
        <is>
          <t>Stadio 3 (ECL lifetime — impaired)</t>
        </is>
      </c>
      <c r="D27" s="2" t="inlineStr">
        <is>
          <t>PD 100% × LGD × EAD × DF | interest on NET</t>
        </is>
      </c>
    </row>
    <row r="29">
      <c r="A29" s="17" t="inlineStr">
        <is>
          <t>SICR triggers (document bank policy)</t>
        </is>
      </c>
    </row>
    <row r="30">
      <c r="A30" s="2" t="inlineStr">
        <is>
          <t xml:space="preserve">  • Absolute PD threshold breach</t>
        </is>
      </c>
    </row>
    <row r="31">
      <c r="A31" s="2" t="inlineStr">
        <is>
          <t xml:space="preserve">  • Relative PD doubling vs origination</t>
        </is>
      </c>
    </row>
    <row r="32">
      <c r="A32" s="2" t="inlineStr">
        <is>
          <t xml:space="preserve">  • Rating downgrade by ≥2 notches</t>
        </is>
      </c>
    </row>
    <row r="33">
      <c r="A33" s="2" t="inlineStr">
        <is>
          <t xml:space="preserve">  • Watchlist flag</t>
        </is>
      </c>
    </row>
    <row r="34">
      <c r="A34" s="2" t="inlineStr">
        <is>
          <t xml:space="preserve">  • Forbearance granted</t>
        </is>
      </c>
    </row>
    <row r="35">
      <c r="A35" s="2" t="inlineStr">
        <is>
          <t xml:space="preserve">  • 30+ days past due (DPD) presumption</t>
        </is>
      </c>
    </row>
    <row r="37">
      <c r="A37" s="7" t="inlineStr">
        <is>
          <t>Basel NPL calendar provisioning</t>
        </is>
      </c>
      <c r="B37" s="8" t="inlineStr">
        <is>
          <t>Calendar provisioning NPL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</row>
    <row r="38">
      <c r="A38" s="13" t="inlineStr">
        <is>
          <t>Regulation (EU) 2019/630 — NPL minimum coverage</t>
        </is>
      </c>
    </row>
    <row r="39">
      <c r="A39" s="13" t="inlineStr">
        <is>
          <t xml:space="preserve">  • Unsecured NPEs</t>
        </is>
      </c>
      <c r="B39" s="2" t="inlineStr">
        <is>
          <t>NPE non garantite</t>
        </is>
      </c>
      <c r="D39" s="2" t="inlineStr">
        <is>
          <t>0% / 35% / 100% (Y1-2 / Y3 / Y3+)</t>
        </is>
      </c>
    </row>
    <row r="40">
      <c r="A40" s="13" t="inlineStr">
        <is>
          <t xml:space="preserve">  • NPEs secured by real estate</t>
        </is>
      </c>
      <c r="B40" s="2" t="inlineStr">
        <is>
          <t>NPE garantite da immobili</t>
        </is>
      </c>
      <c r="D40" s="2" t="inlineStr">
        <is>
          <t>0% / 25% / 70% / 100% (Y1-4 / Y5 / Y7 / Y9+)</t>
        </is>
      </c>
    </row>
    <row r="41">
      <c r="A41" s="13" t="inlineStr">
        <is>
          <t xml:space="preserve">  • NPEs secured by other collateral</t>
        </is>
      </c>
      <c r="B41" s="2" t="inlineStr">
        <is>
          <t>NPE garantite altro</t>
        </is>
      </c>
      <c r="D41" s="2" t="inlineStr">
        <is>
          <t>0% / 35% / 70% / 100% (Y1-2 / Y3 / Y4 / Y7+)</t>
        </is>
      </c>
    </row>
    <row r="42">
      <c r="A42" t="inlineStr"/>
    </row>
    <row r="44">
      <c r="A44" s="7" t="inlineStr">
        <is>
          <t>GACS (Garanzia Cartolarizzazione Sofferenze)</t>
        </is>
      </c>
      <c r="B44" s="8" t="inlineStr">
        <is>
          <t>GACS — Garanzia stato su senior NPL</t>
        </is>
      </c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</row>
    <row r="45">
      <c r="A45" s="13" t="inlineStr">
        <is>
          <t xml:space="preserve">  • Senior tranche rating ≥ BBB-</t>
        </is>
      </c>
      <c r="B45" s="2" t="inlineStr">
        <is>
          <t>Rating senior ≥ investment grade</t>
        </is>
      </c>
      <c r="D45" s="2" t="inlineStr">
        <is>
          <t>BBB</t>
        </is>
      </c>
    </row>
    <row r="46">
      <c r="A46" s="13" t="inlineStr">
        <is>
          <t xml:space="preserve">  • Legge 130/1999 SPV (bankruptcy-remote)</t>
        </is>
      </c>
      <c r="B46" s="2" t="inlineStr">
        <is>
          <t>SPV legge 130/1999</t>
        </is>
      </c>
      <c r="D46" s="2" t="inlineStr">
        <is>
          <t>YES (required)</t>
        </is>
      </c>
    </row>
    <row r="47">
      <c r="A47" s="13" t="inlineStr">
        <is>
          <t xml:space="preserve">  • Guarantee fee priced on IT financial CDS</t>
        </is>
      </c>
      <c r="B47" s="2" t="inlineStr">
        <is>
          <t>Fee garanzia su CDS finanziari italiani</t>
        </is>
      </c>
      <c r="D47" s="2" t="inlineStr">
        <is>
          <t>IT Italian financial-sector CDS basket (5Y)</t>
        </is>
      </c>
    </row>
    <row r="48">
      <c r="A48" s="13" t="inlineStr">
        <is>
          <t xml:space="preserve">  • Servicer fit-and-proper (Banca d'Italia)</t>
        </is>
      </c>
      <c r="B48" s="2" t="inlineStr">
        <is>
          <t>Servicer requisiti</t>
        </is>
      </c>
      <c r="D48" s="2" t="inlineStr">
        <is>
          <t>Required</t>
        </is>
      </c>
    </row>
    <row r="50">
      <c r="A50" s="7" t="inlineStr">
        <is>
          <t>Italian tax — IRES + IRAP split</t>
        </is>
      </c>
      <c r="B50" s="8" t="inlineStr">
        <is>
          <t>Tassazione italiana — IRES + IRAP</t>
        </is>
      </c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13" t="inlineStr">
        <is>
          <t>IRES rate</t>
        </is>
      </c>
      <c r="B51" s="2" t="inlineStr">
        <is>
          <t>Aliquota IRES</t>
        </is>
      </c>
      <c r="D51" s="40" t="n">
        <v>0.24</v>
      </c>
    </row>
    <row r="52">
      <c r="A52" s="13" t="inlineStr">
        <is>
          <t>IRAP rate (national base + regional)</t>
        </is>
      </c>
      <c r="B52" s="2" t="inlineStr">
        <is>
          <t>Aliquota IRAP</t>
        </is>
      </c>
      <c r="D52" s="40" t="n">
        <v>0.039</v>
      </c>
    </row>
    <row r="53">
      <c r="A53" s="17" t="inlineStr">
        <is>
          <t>IRES+IRAP combined (approximate)</t>
        </is>
      </c>
      <c r="B53" s="2" t="inlineStr">
        <is>
          <t>IRES+IRAP combinate (stima)</t>
        </is>
      </c>
      <c r="D53" s="66">
        <f>tax_ires_rate+tax_irap_rate</f>
        <v/>
      </c>
    </row>
    <row r="56">
      <c r="A56" s="7" t="inlineStr">
        <is>
          <t>Basel III/IV securitization capital (SEC-SA / SEC-IRBA / SEC-ERBA)</t>
        </is>
      </c>
      <c r="B56" s="8" t="inlineStr">
        <is>
          <t>Capitale Basel su cartolarizzazioni</t>
        </is>
      </c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</row>
    <row r="57">
      <c r="A57" s="17" t="inlineStr">
        <is>
          <t>Framework hierarchy (BCBS d374 / CRR Art. 254)</t>
        </is>
      </c>
      <c r="B57" s="2" t="inlineStr">
        <is>
          <t>Gerarchia framework</t>
        </is>
      </c>
    </row>
    <row r="58">
      <c r="A58" s="13" t="inlineStr">
        <is>
          <t xml:space="preserve">  • SEC-IRBA (internal ratings-based)</t>
        </is>
      </c>
      <c r="B58" s="2" t="inlineStr">
        <is>
          <t>Banca IRB con rating interni</t>
        </is>
      </c>
      <c r="D58" s="2" t="inlineStr">
        <is>
          <t>Priority 1 — required if bank has IRB approval for underlying</t>
        </is>
      </c>
    </row>
    <row r="59">
      <c r="A59" s="13" t="inlineStr">
        <is>
          <t xml:space="preserve">  • SEC-ERBA (external ratings-based)</t>
        </is>
      </c>
      <c r="B59" s="2" t="inlineStr">
        <is>
          <t>Basato su rating esterni</t>
        </is>
      </c>
      <c r="D59" s="2" t="inlineStr">
        <is>
          <t>Priority 2 — used when ECAI rating available on tranche</t>
        </is>
      </c>
    </row>
    <row r="60">
      <c r="A60" s="13" t="inlineStr">
        <is>
          <t xml:space="preserve">  • SEC-SA (standardised approach)</t>
        </is>
      </c>
      <c r="B60" s="2" t="inlineStr">
        <is>
          <t>Approccio standard</t>
        </is>
      </c>
      <c r="D60" s="2" t="inlineStr">
        <is>
          <t>Priority 3 — fallback; Kirb-based look-through formula</t>
        </is>
      </c>
    </row>
    <row r="61">
      <c r="A61" s="13" t="inlineStr">
        <is>
          <t xml:space="preserve">  • Risk-weight floor (all approaches)</t>
        </is>
      </c>
      <c r="B61" s="2" t="inlineStr">
        <is>
          <t>Floor ponderazione</t>
        </is>
      </c>
      <c r="D61" s="2" t="inlineStr">
        <is>
          <t>15% minimum on senior; 100% on mezz; 1,250% on equity/residual</t>
        </is>
      </c>
    </row>
    <row r="62">
      <c r="A62" s="13" t="inlineStr">
        <is>
          <t xml:space="preserve">  • Output floor (Basel IV)</t>
        </is>
      </c>
      <c r="B62" s="2" t="inlineStr">
        <is>
          <t>Output floor Basel IV</t>
        </is>
      </c>
      <c r="D62" s="2" t="inlineStr">
        <is>
          <t>72.5% of SA by 2028 (phased from 50% in 2022)</t>
        </is>
      </c>
    </row>
    <row r="63">
      <c r="A63" s="13" t="inlineStr">
        <is>
          <t xml:space="preserve">  • STS qualifying (Reg. EU 2017/2402)</t>
        </is>
      </c>
      <c r="B63" s="2" t="inlineStr">
        <is>
          <t>STS conforme</t>
        </is>
      </c>
      <c r="D63" s="2" t="inlineStr">
        <is>
          <t>Simple / Transparent / Standardised — reduced RW</t>
        </is>
      </c>
    </row>
    <row r="64">
      <c r="A64" t="inlineStr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pane xSplit="3" ySplit="9" topLeftCell="D10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34" customWidth="1" min="2" max="2"/>
    <col width="26" customWidth="1" min="3" max="3"/>
    <col width="11" customWidth="1" min="4" max="4"/>
    <col width="10" customWidth="1" min="5" max="5"/>
    <col width="10" customWidth="1" min="6" max="6"/>
    <col width="10" customWidth="1" min="7" max="7"/>
    <col width="12" customWidth="1" min="8" max="8"/>
    <col width="10" customWidth="1" min="9" max="9"/>
    <col width="12" customWidth="1" min="10" max="10"/>
    <col width="12" customWidth="1" min="11" max="11"/>
  </cols>
  <sheetData>
    <row r="1">
      <c r="A1" s="15" t="inlineStr">
        <is>
          <t>Sensitivity Analysis</t>
        </is>
      </c>
    </row>
    <row r="2">
      <c r="A2" s="2" t="inlineStr">
        <is>
          <t>Analisi di sensibilità</t>
        </is>
      </c>
    </row>
    <row r="3">
      <c r="A3" s="26" t="inlineStr">
        <is>
          <t>ACTIVE SCENARIO →</t>
        </is>
      </c>
      <c r="B3" s="27" t="inlineStr">
        <is>
          <t>SCENARIO ATTIVO →</t>
        </is>
      </c>
      <c r="C3" s="59">
        <f>CHOOSE(scenario_index,"WORST","BASE","BEST")</f>
        <v/>
      </c>
    </row>
    <row r="4">
      <c r="A4" s="51" t="inlineStr">
        <is>
          <t>LIVE — linear-elasticity approximation off primary_output. Recomputes when you change scenario_index or edit a driver/shock. Exact non-linear recompute via the `modelforge` CLI / dossier.  |  LIVE — approssimazione a elasticità lineare su primary_output. Si ricalcola quando cambi scenario_index o modifichi un driver/shock. Ricalcolo esatto non lineare tramite la CLI `modelforge` / dossier.</t>
        </is>
      </c>
    </row>
    <row r="5">
      <c r="A5" s="17" t="inlineStr">
        <is>
          <t>Primary output</t>
        </is>
      </c>
      <c r="B5" s="17" t="inlineStr">
        <is>
          <t>Net Income (Y1 projected)</t>
        </is>
      </c>
      <c r="D5" s="66">
        <f>primary_output</f>
        <v/>
      </c>
    </row>
    <row r="6">
      <c r="A6" s="17" t="inlineStr">
        <is>
          <t>Factors analyzed</t>
        </is>
      </c>
      <c r="D6" s="67" t="n">
        <v>7</v>
      </c>
    </row>
    <row r="8">
      <c r="J8" s="45" t="inlineStr">
        <is>
          <t>Method: LIVE elasticity formula (exact non-linear Δ via CLI/dossier)</t>
        </is>
      </c>
    </row>
    <row r="9">
      <c r="A9" s="12" t="inlineStr">
        <is>
          <t>ID</t>
        </is>
      </c>
      <c r="B9" s="12" t="inlineStr">
        <is>
          <t>Factor</t>
        </is>
      </c>
      <c r="C9" s="12" t="inlineStr">
        <is>
          <t>Driver</t>
        </is>
      </c>
      <c r="D9" s="12" t="inlineStr">
        <is>
          <t>Base</t>
        </is>
      </c>
      <c r="E9" s="12" t="inlineStr">
        <is>
          <t>Low shk</t>
        </is>
      </c>
      <c r="F9" s="12" t="inlineStr">
        <is>
          <t>High shk</t>
        </is>
      </c>
      <c r="G9" s="12" t="inlineStr">
        <is>
          <t>Elast.</t>
        </is>
      </c>
      <c r="H9" s="12" t="inlineStr">
        <is>
          <t>Low value</t>
        </is>
      </c>
      <c r="I9" s="12" t="inlineStr">
        <is>
          <t>High value</t>
        </is>
      </c>
      <c r="J9" s="12" t="inlineStr">
        <is>
          <t>Low Δ</t>
        </is>
      </c>
      <c r="K9" s="12" t="inlineStr">
        <is>
          <t>High Δ</t>
        </is>
      </c>
    </row>
    <row r="10">
      <c r="A10" s="17" t="inlineStr">
        <is>
          <t>F-001</t>
        </is>
      </c>
      <c r="B10" s="46" t="inlineStr">
        <is>
          <t>Revenue growth Y1 ±20%</t>
        </is>
      </c>
      <c r="C10" s="19" t="inlineStr">
        <is>
          <t>revenue_growth_y1</t>
        </is>
      </c>
      <c r="D10" s="68">
        <f>revenue_growth_y1</f>
        <v/>
      </c>
      <c r="E10" s="20" t="n">
        <v>-0.2</v>
      </c>
      <c r="F10" s="20" t="n">
        <v>0.2</v>
      </c>
      <c r="G10" s="48" t="n">
        <v>0.8</v>
      </c>
      <c r="H10" s="68">
        <f>D10*(1+E10)</f>
        <v/>
      </c>
      <c r="I10" s="68">
        <f>D10*(1+F10)</f>
        <v/>
      </c>
      <c r="J10" s="41">
        <f>primary_output*E10*G10</f>
        <v/>
      </c>
      <c r="K10" s="41">
        <f>primary_output*F10*G10</f>
        <v/>
      </c>
    </row>
    <row r="11">
      <c r="A11" s="17" t="inlineStr">
        <is>
          <t>F-002</t>
        </is>
      </c>
      <c r="B11" s="46" t="inlineStr">
        <is>
          <t>Revenue growth Y3 ±20%</t>
        </is>
      </c>
      <c r="C11" s="19" t="inlineStr">
        <is>
          <t>revenue_growth_y3</t>
        </is>
      </c>
      <c r="D11" s="68">
        <f>revenue_growth_y3</f>
        <v/>
      </c>
      <c r="E11" s="20" t="n">
        <v>-0.2</v>
      </c>
      <c r="F11" s="20" t="n">
        <v>0.2</v>
      </c>
      <c r="G11" s="48" t="n">
        <v>0.55</v>
      </c>
      <c r="H11" s="68">
        <f>D11*(1+E11)</f>
        <v/>
      </c>
      <c r="I11" s="68">
        <f>D11*(1+F11)</f>
        <v/>
      </c>
      <c r="J11" s="41">
        <f>primary_output*E11*G11</f>
        <v/>
      </c>
      <c r="K11" s="41">
        <f>primary_output*F11*G11</f>
        <v/>
      </c>
    </row>
    <row r="12">
      <c r="A12" s="17" t="inlineStr">
        <is>
          <t>F-003</t>
        </is>
      </c>
      <c r="B12" s="46" t="inlineStr">
        <is>
          <t>EBITDA margin Y1 ±25%</t>
        </is>
      </c>
      <c r="C12" s="19" t="inlineStr">
        <is>
          <t>ebitda_margin_y1</t>
        </is>
      </c>
      <c r="D12" s="68">
        <f>ebitda_margin_y1</f>
        <v/>
      </c>
      <c r="E12" s="20" t="n">
        <v>-0.25</v>
      </c>
      <c r="F12" s="20" t="n">
        <v>0.25</v>
      </c>
      <c r="G12" s="48" t="n">
        <v>0.9</v>
      </c>
      <c r="H12" s="68">
        <f>D12*(1+E12)</f>
        <v/>
      </c>
      <c r="I12" s="68">
        <f>D12*(1+F12)</f>
        <v/>
      </c>
      <c r="J12" s="41">
        <f>primary_output*E12*G12</f>
        <v/>
      </c>
      <c r="K12" s="41">
        <f>primary_output*F12*G12</f>
        <v/>
      </c>
    </row>
    <row r="13">
      <c r="A13" s="17" t="inlineStr">
        <is>
          <t>F-004</t>
        </is>
      </c>
      <c r="B13" s="46" t="inlineStr">
        <is>
          <t>EBITDA margin Y3 ±25%</t>
        </is>
      </c>
      <c r="C13" s="19" t="inlineStr">
        <is>
          <t>ebitda_margin_y3</t>
        </is>
      </c>
      <c r="D13" s="68">
        <f>ebitda_margin_y3</f>
        <v/>
      </c>
      <c r="E13" s="20" t="n">
        <v>-0.25</v>
      </c>
      <c r="F13" s="20" t="n">
        <v>0.25</v>
      </c>
      <c r="G13" s="48" t="n">
        <v>0.65</v>
      </c>
      <c r="H13" s="68">
        <f>D13*(1+E13)</f>
        <v/>
      </c>
      <c r="I13" s="68">
        <f>D13*(1+F13)</f>
        <v/>
      </c>
      <c r="J13" s="41">
        <f>primary_output*E13*G13</f>
        <v/>
      </c>
      <c r="K13" s="41">
        <f>primary_output*F13*G13</f>
        <v/>
      </c>
    </row>
    <row r="14">
      <c r="A14" s="17" t="inlineStr">
        <is>
          <t>F-005</t>
        </is>
      </c>
      <c r="B14" s="46" t="inlineStr">
        <is>
          <t>Capex % revenue ±20%</t>
        </is>
      </c>
      <c r="C14" s="19" t="inlineStr">
        <is>
          <t>capex_pct_revenue</t>
        </is>
      </c>
      <c r="D14" s="68">
        <f>capex_pct_revenue</f>
        <v/>
      </c>
      <c r="E14" s="20" t="n">
        <v>-0.2</v>
      </c>
      <c r="F14" s="20" t="n">
        <v>0.2</v>
      </c>
      <c r="G14" s="48" t="n">
        <v>-0.4</v>
      </c>
      <c r="H14" s="68">
        <f>D14*(1+E14)</f>
        <v/>
      </c>
      <c r="I14" s="68">
        <f>D14*(1+F14)</f>
        <v/>
      </c>
      <c r="J14" s="41">
        <f>primary_output*E14*G14</f>
        <v/>
      </c>
      <c r="K14" s="41">
        <f>primary_output*F14*G14</f>
        <v/>
      </c>
    </row>
    <row r="15">
      <c r="A15" s="17" t="inlineStr">
        <is>
          <t>F-006</t>
        </is>
      </c>
      <c r="B15" s="46" t="inlineStr">
        <is>
          <t>Effective tax ±10%</t>
        </is>
      </c>
      <c r="C15" s="19" t="inlineStr">
        <is>
          <t>effective_tax_rate</t>
        </is>
      </c>
      <c r="D15" s="68">
        <f>effective_tax_rate</f>
        <v/>
      </c>
      <c r="E15" s="20" t="n">
        <v>-0.1</v>
      </c>
      <c r="F15" s="20" t="n">
        <v>0.1</v>
      </c>
      <c r="G15" s="48" t="n">
        <v>-0.3</v>
      </c>
      <c r="H15" s="68">
        <f>D15*(1+E15)</f>
        <v/>
      </c>
      <c r="I15" s="68">
        <f>D15*(1+F15)</f>
        <v/>
      </c>
      <c r="J15" s="41">
        <f>primary_output*E15*G15</f>
        <v/>
      </c>
      <c r="K15" s="41">
        <f>primary_output*F15*G15</f>
        <v/>
      </c>
    </row>
    <row r="16">
      <c r="A16" s="17" t="inlineStr">
        <is>
          <t>F-007</t>
        </is>
      </c>
      <c r="B16" s="46" t="inlineStr">
        <is>
          <t>D&amp;A % revenue ±20%</t>
        </is>
      </c>
      <c r="C16" s="19" t="inlineStr">
        <is>
          <t>da_pct_revenue</t>
        </is>
      </c>
      <c r="D16" s="68">
        <f>da_pct_revenue</f>
        <v/>
      </c>
      <c r="E16" s="20" t="n">
        <v>-0.2</v>
      </c>
      <c r="F16" s="20" t="n">
        <v>0.2</v>
      </c>
      <c r="G16" s="48" t="n">
        <v>-0.1</v>
      </c>
      <c r="H16" s="68">
        <f>D16*(1+E16)</f>
        <v/>
      </c>
      <c r="I16" s="68">
        <f>D16*(1+F16)</f>
        <v/>
      </c>
      <c r="J16" s="41">
        <f>primary_output*E16*G16</f>
        <v/>
      </c>
      <c r="K16" s="41">
        <f>primary_output*F16*G16</f>
        <v/>
      </c>
    </row>
    <row r="19">
      <c r="A19" s="15" t="inlineStr">
        <is>
          <t>2D Data Table: EBITDA margin Y1 ±25% × Revenue growth Y1 ±20%  =TABLE(ebitda_margin_y1, revenue_growth_y1)  (linear elasticity: rows=+0.90, cols=+0.80)</t>
        </is>
      </c>
    </row>
    <row r="20">
      <c r="A20" s="51" t="inlineStr">
        <is>
          <t>LIVE — linear-elasticity approximation off primary_output. Recomputes when you change scenario_index or edit a driver/shock. Exact non-linear recompute via the `modelforge` CLI / dossier.  |  LIVE — approssimazione a elasticità lineare su primary_output. Si ricalcola quando cambi scenario_index o modifichi un driver/shock. Ricalcolo esatto non lineare tramite la CLI `modelforge` / dossier.</t>
        </is>
      </c>
    </row>
    <row r="21">
      <c r="A21" s="2" t="inlineStr">
        <is>
          <t>Each cell = primary_output × (1 + row_shock × row_elasticity + col_shock × col_elasticity), a live Excel formula. Shocks live via named ranges sensitivity_shock_1..5 (editable inputs); flip scenario_index or edit a shock and the body recomputes.</t>
        </is>
      </c>
    </row>
    <row r="22">
      <c r="B22" s="2" t="inlineStr">
        <is>
          <t>ebitda_margin_y1 ↓  /  revenue_growth_y1 →</t>
        </is>
      </c>
      <c r="C22" s="66" t="n">
        <v>-0.2</v>
      </c>
      <c r="D22" s="66" t="n">
        <v>-0.1</v>
      </c>
      <c r="E22" s="66" t="n">
        <v>0</v>
      </c>
      <c r="F22" s="66" t="n">
        <v>0.1</v>
      </c>
      <c r="G22" s="66" t="n">
        <v>0.2</v>
      </c>
    </row>
    <row r="23">
      <c r="B23" s="66">
        <f>sensitivity_shock_1</f>
        <v/>
      </c>
      <c r="C23" s="41">
        <f>primary_output*(1+sensitivity_shock_1*(0.9)+sensitivity_shock_1*(0.8))</f>
        <v/>
      </c>
      <c r="D23" s="41">
        <f>primary_output*(1+sensitivity_shock_1*(0.9)+sensitivity_shock_2*(0.8))</f>
        <v/>
      </c>
      <c r="E23" s="41">
        <f>primary_output*(1+sensitivity_shock_1*(0.9)+sensitivity_shock_3*(0.8))</f>
        <v/>
      </c>
      <c r="F23" s="41">
        <f>primary_output*(1+sensitivity_shock_1*(0.9)+sensitivity_shock_4*(0.8))</f>
        <v/>
      </c>
      <c r="G23" s="41">
        <f>primary_output*(1+sensitivity_shock_1*(0.9)+sensitivity_shock_5*(0.8))</f>
        <v/>
      </c>
    </row>
    <row r="24">
      <c r="B24" s="66">
        <f>sensitivity_shock_2</f>
        <v/>
      </c>
      <c r="C24" s="41">
        <f>primary_output*(1+sensitivity_shock_2*(0.9)+sensitivity_shock_1*(0.8))</f>
        <v/>
      </c>
      <c r="D24" s="41">
        <f>primary_output*(1+sensitivity_shock_2*(0.9)+sensitivity_shock_2*(0.8))</f>
        <v/>
      </c>
      <c r="E24" s="41">
        <f>primary_output*(1+sensitivity_shock_2*(0.9)+sensitivity_shock_3*(0.8))</f>
        <v/>
      </c>
      <c r="F24" s="41">
        <f>primary_output*(1+sensitivity_shock_2*(0.9)+sensitivity_shock_4*(0.8))</f>
        <v/>
      </c>
      <c r="G24" s="41">
        <f>primary_output*(1+sensitivity_shock_2*(0.9)+sensitivity_shock_5*(0.8))</f>
        <v/>
      </c>
    </row>
    <row r="25">
      <c r="B25" s="66">
        <f>sensitivity_shock_3</f>
        <v/>
      </c>
      <c r="C25" s="41">
        <f>primary_output*(1+sensitivity_shock_3*(0.9)+sensitivity_shock_1*(0.8))</f>
        <v/>
      </c>
      <c r="D25" s="41">
        <f>primary_output*(1+sensitivity_shock_3*(0.9)+sensitivity_shock_2*(0.8))</f>
        <v/>
      </c>
      <c r="E25" s="41">
        <f>primary_output*(1+sensitivity_shock_3*(0.9)+sensitivity_shock_3*(0.8))</f>
        <v/>
      </c>
      <c r="F25" s="41">
        <f>primary_output*(1+sensitivity_shock_3*(0.9)+sensitivity_shock_4*(0.8))</f>
        <v/>
      </c>
      <c r="G25" s="41">
        <f>primary_output*(1+sensitivity_shock_3*(0.9)+sensitivity_shock_5*(0.8))</f>
        <v/>
      </c>
    </row>
    <row r="26">
      <c r="B26" s="66">
        <f>sensitivity_shock_4</f>
        <v/>
      </c>
      <c r="C26" s="41">
        <f>primary_output*(1+sensitivity_shock_4*(0.9)+sensitivity_shock_1*(0.8))</f>
        <v/>
      </c>
      <c r="D26" s="41">
        <f>primary_output*(1+sensitivity_shock_4*(0.9)+sensitivity_shock_2*(0.8))</f>
        <v/>
      </c>
      <c r="E26" s="41">
        <f>primary_output*(1+sensitivity_shock_4*(0.9)+sensitivity_shock_3*(0.8))</f>
        <v/>
      </c>
      <c r="F26" s="41">
        <f>primary_output*(1+sensitivity_shock_4*(0.9)+sensitivity_shock_4*(0.8))</f>
        <v/>
      </c>
      <c r="G26" s="41">
        <f>primary_output*(1+sensitivity_shock_4*(0.9)+sensitivity_shock_5*(0.8))</f>
        <v/>
      </c>
    </row>
    <row r="27">
      <c r="B27" s="66">
        <f>sensitivity_shock_5</f>
        <v/>
      </c>
      <c r="C27" s="41">
        <f>primary_output*(1+sensitivity_shock_5*(0.9)+sensitivity_shock_1*(0.8))</f>
        <v/>
      </c>
      <c r="D27" s="41">
        <f>primary_output*(1+sensitivity_shock_5*(0.9)+sensitivity_shock_2*(0.8))</f>
        <v/>
      </c>
      <c r="E27" s="41">
        <f>primary_output*(1+sensitivity_shock_5*(0.9)+sensitivity_shock_3*(0.8))</f>
        <v/>
      </c>
      <c r="F27" s="41">
        <f>primary_output*(1+sensitivity_shock_5*(0.9)+sensitivity_shock_4*(0.8))</f>
        <v/>
      </c>
      <c r="G27" s="41">
        <f>primary_output*(1+sensitivity_shock_5*(0.9)+sensitivity_shock_5*(0.8))</f>
        <v/>
      </c>
    </row>
  </sheetData>
  <conditionalFormatting sqref="C3">
    <cfRule type="cellIs" priority="1" operator="equal" dxfId="0">
      <formula>"WORST"</formula>
    </cfRule>
    <cfRule type="cellIs" priority="2" operator="equal" dxfId="1">
      <formula>"BASE"</formula>
    </cfRule>
    <cfRule type="cellIs" priority="3" operator="equal" dxfId="2">
      <formula>"BEST"</formula>
    </cfRule>
  </conditionalFormatting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5" t="inlineStr">
        <is>
          <t>Monte Carlo Simulation</t>
        </is>
      </c>
    </row>
    <row r="2">
      <c r="A2" s="2" t="inlineStr">
        <is>
          <t>Simulazione Monte Carlo</t>
        </is>
      </c>
    </row>
    <row r="3">
      <c r="A3" s="26" t="inlineStr">
        <is>
          <t>ACTIVE SCENARIO →</t>
        </is>
      </c>
      <c r="B3" s="27" t="inlineStr">
        <is>
          <t>SCENARIO ATTIVO →</t>
        </is>
      </c>
      <c r="C3" s="59">
        <f>CHOOSE(scenario_index,"WORST","BASE","BEST")</f>
        <v/>
      </c>
    </row>
    <row r="4">
      <c r="A4" s="50" t="inlineStr">
        <is>
          <t>STATIC SNAPSHOT — computed at build time (seed/scenario fixed). Does NOT recompute when you change scenario_index or drivers. To refresh: rebuild from the spec.  |  ISTANTANEA STATICA — calcolata in fase di build (seed/scenario fissi). NON si ricalcola se modifichi scenario_index o i driver. Per aggiornare: ricostruisci dalla specifica.</t>
        </is>
      </c>
    </row>
    <row r="5">
      <c r="A5" s="17" t="inlineStr">
        <is>
          <t>Base output</t>
        </is>
      </c>
      <c r="B5" s="17" t="inlineStr">
        <is>
          <t>Net Income (Y1 projected)</t>
        </is>
      </c>
      <c r="C5" s="66">
        <f>primary_output</f>
        <v/>
      </c>
    </row>
    <row r="6">
      <c r="A6" s="2" t="inlineStr">
        <is>
          <t>1,000-run triangular simulation on Net Income (Y1 projected). Method: exact shadow-engine recompute per draw. Δ mode: fractional (× base = absolute). Seed=20260417.</t>
        </is>
      </c>
    </row>
    <row r="8">
      <c r="A8" s="51" t="inlineStr">
        <is>
          <t>PARAMETRIC (LIVE — normal approx) — P5/P50/P95/mean as live Excel formulas off primary_output and the mc_vol input. RECOMPUTES when you flip scenario_index or edit mc_vol. Distinct from the sampled histogram below, which is a build-time snapshot (exact resim via `modelforge monte-carlo`).  |  PARAMETRICO (LIVE — approssimazione normale) — P5/P50/P95/media come formule Excel live su primary_output e l'input mc_vol. Si RICALCOLA quando cambi scenario_index o modifichi mc_vol. Distinto dall'istogramma campionato sotto, che è un'istantanea di build (ri-simulazione esatta con `modelforge monte-carlo`).</t>
        </is>
      </c>
    </row>
    <row r="9">
      <c r="A9" s="17" t="inlineStr">
        <is>
          <t>Volatility (σ, editable)</t>
        </is>
      </c>
      <c r="B9" s="40" t="n">
        <v>0.2114491448124089</v>
      </c>
    </row>
    <row r="10">
      <c r="A10" s="12" t="inlineStr">
        <is>
          <t>Statistic</t>
        </is>
      </c>
      <c r="B10" s="12" t="inlineStr">
        <is>
          <t>Parametric (LIVE)</t>
        </is>
      </c>
    </row>
    <row r="11">
      <c r="A11" s="17" t="inlineStr">
        <is>
          <t>Mean (LIVE)</t>
        </is>
      </c>
      <c r="B11" s="41">
        <f>primary_output</f>
        <v/>
      </c>
    </row>
    <row r="12">
      <c r="A12" s="17" t="inlineStr">
        <is>
          <t>P5 (LIVE)</t>
        </is>
      </c>
      <c r="B12" s="41">
        <f>primary_output*(1+NORM.S.INV(0.05)*mc_vol)</f>
        <v/>
      </c>
    </row>
    <row r="13">
      <c r="A13" s="17" t="inlineStr">
        <is>
          <t>P50 (LIVE)</t>
        </is>
      </c>
      <c r="B13" s="41">
        <f>primary_output*(1+NORM.S.INV(0.5)*mc_vol)</f>
        <v/>
      </c>
    </row>
    <row r="14">
      <c r="A14" s="17" t="inlineStr">
        <is>
          <t>P95 (LIVE)</t>
        </is>
      </c>
      <c r="B14" s="41">
        <f>primary_output*(1+NORM.S.INV(0.95)*mc_vol)</f>
        <v/>
      </c>
    </row>
    <row r="16">
      <c r="A16" s="52" t="inlineStr">
        <is>
          <t>SAMPLED (snapshot) — full 1,000-draw triangular distribution; frozen at build time, does NOT recompute on scenario flip (refresh: `modelforge monte-carlo`).</t>
        </is>
      </c>
    </row>
    <row r="17">
      <c r="A17" s="12" t="inlineStr">
        <is>
          <t>Statistic</t>
        </is>
      </c>
      <c r="B17" s="12" t="inlineStr">
        <is>
          <t>Δ output (frac)</t>
        </is>
      </c>
      <c r="C17" s="12" t="inlineStr">
        <is>
          <t>Absolute output</t>
        </is>
      </c>
    </row>
    <row r="18">
      <c r="A18" s="17" t="inlineStr">
        <is>
          <t>Mean</t>
        </is>
      </c>
      <c r="B18" s="53" t="n">
        <v>-0.006122820290531196</v>
      </c>
      <c r="C18" s="41">
        <f>primary_output*(1+B18)</f>
        <v/>
      </c>
    </row>
    <row r="19">
      <c r="A19" s="17" t="inlineStr">
        <is>
          <t>Std</t>
        </is>
      </c>
      <c r="B19" s="53" t="n">
        <v>0.2114491448124089</v>
      </c>
      <c r="C19" s="41">
        <f>primary_output*(1+B19)</f>
        <v/>
      </c>
    </row>
    <row r="20">
      <c r="A20" s="17" t="inlineStr">
        <is>
          <t>P5</t>
        </is>
      </c>
      <c r="B20" s="53" t="n">
        <v>-0.3574573097582215</v>
      </c>
      <c r="C20" s="41">
        <f>primary_output*(1+B20)</f>
        <v/>
      </c>
    </row>
    <row r="21">
      <c r="A21" s="17" t="inlineStr">
        <is>
          <t>P25</t>
        </is>
      </c>
      <c r="B21" s="53" t="n">
        <v>-0.158103081960621</v>
      </c>
      <c r="C21" s="41">
        <f>primary_output*(1+B21)</f>
        <v/>
      </c>
    </row>
    <row r="22">
      <c r="A22" s="17" t="inlineStr">
        <is>
          <t>P50 (median)</t>
        </is>
      </c>
      <c r="B22" s="53" t="n">
        <v>-0.002243178001386388</v>
      </c>
      <c r="C22" s="41">
        <f>primary_output*(1+B22)</f>
        <v/>
      </c>
    </row>
    <row r="23">
      <c r="A23" s="17" t="inlineStr">
        <is>
          <t>P75</t>
        </is>
      </c>
      <c r="B23" s="53" t="n">
        <v>0.1497734836768176</v>
      </c>
      <c r="C23" s="41">
        <f>primary_output*(1+B23)</f>
        <v/>
      </c>
    </row>
    <row r="24">
      <c r="A24" s="17" t="inlineStr">
        <is>
          <t>P95</t>
        </is>
      </c>
      <c r="B24" s="53" t="n">
        <v>0.3378726438731819</v>
      </c>
      <c r="C24" s="41">
        <f>primary_output*(1+B24)</f>
        <v/>
      </c>
    </row>
    <row r="25">
      <c r="A25" s="17" t="inlineStr">
        <is>
          <t>Min</t>
        </is>
      </c>
      <c r="B25" s="53" t="n">
        <v>-0.5685095303241789</v>
      </c>
      <c r="C25" s="41">
        <f>primary_output*(1+B25)</f>
        <v/>
      </c>
    </row>
    <row r="26">
      <c r="A26" s="17" t="inlineStr">
        <is>
          <t>Max</t>
        </is>
      </c>
      <c r="B26" s="53" t="n">
        <v>0.5701071187903177</v>
      </c>
      <c r="C26" s="41">
        <f>primary_output*(1+B26)</f>
        <v/>
      </c>
    </row>
    <row r="29">
      <c r="A29" s="17" t="inlineStr">
        <is>
          <t>Histogram bins</t>
        </is>
      </c>
    </row>
    <row r="30">
      <c r="A30" s="12" t="inlineStr">
        <is>
          <t>Bin low (Δ)</t>
        </is>
      </c>
      <c r="B30" s="12" t="inlineStr">
        <is>
          <t>Bin high (Δ)</t>
        </is>
      </c>
      <c r="C30" s="12" t="inlineStr">
        <is>
          <t>Count</t>
        </is>
      </c>
    </row>
    <row r="31">
      <c r="A31" s="53" t="n">
        <v>-0.5685095303241789</v>
      </c>
      <c r="B31" s="53" t="n">
        <v>-0.5305556420203624</v>
      </c>
      <c r="C31" s="54" t="n">
        <v>1</v>
      </c>
    </row>
    <row r="32">
      <c r="A32" s="53" t="n">
        <v>-0.5305556420203624</v>
      </c>
      <c r="B32" s="53" t="n">
        <v>-0.4926017537165459</v>
      </c>
      <c r="C32" s="54" t="n">
        <v>4</v>
      </c>
    </row>
    <row r="33">
      <c r="A33" s="53" t="n">
        <v>-0.4926017537165459</v>
      </c>
      <c r="B33" s="53" t="n">
        <v>-0.4546478654127293</v>
      </c>
      <c r="C33" s="54" t="n">
        <v>7</v>
      </c>
    </row>
    <row r="34">
      <c r="A34" s="53" t="n">
        <v>-0.4546478654127293</v>
      </c>
      <c r="B34" s="53" t="n">
        <v>-0.4166939771089128</v>
      </c>
      <c r="C34" s="54" t="n">
        <v>9</v>
      </c>
    </row>
    <row r="35">
      <c r="A35" s="53" t="n">
        <v>-0.4166939771089128</v>
      </c>
      <c r="B35" s="53" t="n">
        <v>-0.3787400888050962</v>
      </c>
      <c r="C35" s="54" t="n">
        <v>16</v>
      </c>
    </row>
    <row r="36">
      <c r="A36" s="53" t="n">
        <v>-0.3787400888050962</v>
      </c>
      <c r="B36" s="53" t="n">
        <v>-0.3407862005012796</v>
      </c>
      <c r="C36" s="54" t="n">
        <v>24</v>
      </c>
    </row>
    <row r="37">
      <c r="A37" s="53" t="n">
        <v>-0.3407862005012796</v>
      </c>
      <c r="B37" s="53" t="n">
        <v>-0.3028323121974631</v>
      </c>
      <c r="C37" s="54" t="n">
        <v>31</v>
      </c>
    </row>
    <row r="38">
      <c r="A38" s="53" t="n">
        <v>-0.3028323121974631</v>
      </c>
      <c r="B38" s="53" t="n">
        <v>-0.2648784238936465</v>
      </c>
      <c r="C38" s="54" t="n">
        <v>35</v>
      </c>
    </row>
    <row r="39">
      <c r="A39" s="53" t="n">
        <v>-0.2648784238936465</v>
      </c>
      <c r="B39" s="53" t="n">
        <v>-0.2269245355898299</v>
      </c>
      <c r="C39" s="54" t="n">
        <v>40</v>
      </c>
    </row>
    <row r="40">
      <c r="A40" s="53" t="n">
        <v>-0.2269245355898299</v>
      </c>
      <c r="B40" s="53" t="n">
        <v>-0.1889706472860134</v>
      </c>
      <c r="C40" s="54" t="n">
        <v>41</v>
      </c>
    </row>
    <row r="41">
      <c r="A41" s="53" t="n">
        <v>-0.1889706472860134</v>
      </c>
      <c r="B41" s="53" t="n">
        <v>-0.1510167589821969</v>
      </c>
      <c r="C41" s="54" t="n">
        <v>54</v>
      </c>
    </row>
    <row r="42">
      <c r="A42" s="53" t="n">
        <v>-0.1510167589821969</v>
      </c>
      <c r="B42" s="53" t="n">
        <v>-0.1130628706783803</v>
      </c>
      <c r="C42" s="54" t="n">
        <v>50</v>
      </c>
    </row>
    <row r="43">
      <c r="A43" s="53" t="n">
        <v>-0.1130628706783803</v>
      </c>
      <c r="B43" s="53" t="n">
        <v>-0.07510898237456376</v>
      </c>
      <c r="C43" s="54" t="n">
        <v>64</v>
      </c>
    </row>
    <row r="44">
      <c r="A44" s="53" t="n">
        <v>-0.07510898237456376</v>
      </c>
      <c r="B44" s="53" t="n">
        <v>-0.03715509407074724</v>
      </c>
      <c r="C44" s="54" t="n">
        <v>71</v>
      </c>
    </row>
    <row r="45">
      <c r="A45" s="53" t="n">
        <v>-0.03715509407074724</v>
      </c>
      <c r="B45" s="53" t="n">
        <v>0.0007987942330693887</v>
      </c>
      <c r="C45" s="54" t="n">
        <v>59</v>
      </c>
    </row>
    <row r="46">
      <c r="A46" s="53" t="n">
        <v>0.0007987942330693887</v>
      </c>
      <c r="B46" s="53" t="n">
        <v>0.03875268253688591</v>
      </c>
      <c r="C46" s="54" t="n">
        <v>69</v>
      </c>
    </row>
    <row r="47">
      <c r="A47" s="53" t="n">
        <v>0.03875268253688591</v>
      </c>
      <c r="B47" s="53" t="n">
        <v>0.07670657084070243</v>
      </c>
      <c r="C47" s="54" t="n">
        <v>74</v>
      </c>
    </row>
    <row r="48">
      <c r="A48" s="53" t="n">
        <v>0.07670657084070243</v>
      </c>
      <c r="B48" s="53" t="n">
        <v>0.1146604591445191</v>
      </c>
      <c r="C48" s="54" t="n">
        <v>51</v>
      </c>
    </row>
    <row r="49">
      <c r="A49" s="53" t="n">
        <v>0.1146604591445191</v>
      </c>
      <c r="B49" s="53" t="n">
        <v>0.1526143474483356</v>
      </c>
      <c r="C49" s="54" t="n">
        <v>55</v>
      </c>
    </row>
    <row r="50">
      <c r="A50" s="53" t="n">
        <v>0.1526143474483356</v>
      </c>
      <c r="B50" s="53" t="n">
        <v>0.1905682357521521</v>
      </c>
      <c r="C50" s="54" t="n">
        <v>52</v>
      </c>
    </row>
    <row r="51">
      <c r="A51" s="53" t="n">
        <v>0.1905682357521521</v>
      </c>
      <c r="B51" s="53" t="n">
        <v>0.2285221240559687</v>
      </c>
      <c r="C51" s="54" t="n">
        <v>55</v>
      </c>
    </row>
    <row r="52">
      <c r="A52" s="53" t="n">
        <v>0.2285221240559687</v>
      </c>
      <c r="B52" s="53" t="n">
        <v>0.2664760123597852</v>
      </c>
      <c r="C52" s="54" t="n">
        <v>34</v>
      </c>
    </row>
    <row r="53">
      <c r="A53" s="53" t="n">
        <v>0.2664760123597852</v>
      </c>
      <c r="B53" s="53" t="n">
        <v>0.3044299006636018</v>
      </c>
      <c r="C53" s="54" t="n">
        <v>38</v>
      </c>
    </row>
    <row r="54">
      <c r="A54" s="53" t="n">
        <v>0.3044299006636018</v>
      </c>
      <c r="B54" s="53" t="n">
        <v>0.3423837889674184</v>
      </c>
      <c r="C54" s="54" t="n">
        <v>21</v>
      </c>
    </row>
    <row r="55">
      <c r="A55" s="53" t="n">
        <v>0.3423837889674184</v>
      </c>
      <c r="B55" s="53" t="n">
        <v>0.3803376772712349</v>
      </c>
      <c r="C55" s="54" t="n">
        <v>15</v>
      </c>
    </row>
    <row r="56">
      <c r="A56" s="53" t="n">
        <v>0.3803376772712349</v>
      </c>
      <c r="B56" s="53" t="n">
        <v>0.4182915655750514</v>
      </c>
      <c r="C56" s="54" t="n">
        <v>12</v>
      </c>
    </row>
    <row r="57">
      <c r="A57" s="53" t="n">
        <v>0.4182915655750514</v>
      </c>
      <c r="B57" s="53" t="n">
        <v>0.4562454538788681</v>
      </c>
      <c r="C57" s="54" t="n">
        <v>7</v>
      </c>
    </row>
    <row r="58">
      <c r="A58" s="53" t="n">
        <v>0.4562454538788681</v>
      </c>
      <c r="B58" s="53" t="n">
        <v>0.4941993421826845</v>
      </c>
      <c r="C58" s="54" t="n">
        <v>6</v>
      </c>
    </row>
    <row r="59">
      <c r="A59" s="53" t="n">
        <v>0.4941993421826845</v>
      </c>
      <c r="B59" s="53" t="n">
        <v>0.5321532304865011</v>
      </c>
      <c r="C59" s="54" t="n">
        <v>1</v>
      </c>
    </row>
    <row r="60">
      <c r="A60" s="53" t="n">
        <v>0.5321532304865011</v>
      </c>
      <c r="B60" s="53" t="n">
        <v>0.5701071187903177</v>
      </c>
      <c r="C60" s="54" t="n">
        <v>4</v>
      </c>
    </row>
  </sheetData>
  <conditionalFormatting sqref="C3">
    <cfRule type="cellIs" priority="1" operator="equal" dxfId="0">
      <formula>"WORST"</formula>
    </cfRule>
    <cfRule type="cellIs" priority="2" operator="equal" dxfId="1">
      <formula>"BASE"</formula>
    </cfRule>
    <cfRule type="cellIs" priority="3" operator="equal" dxfId="2">
      <formula>"BEST"</formula>
    </cfRule>
  </conditionalFormatting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2" customWidth="1" min="1" max="1"/>
    <col width="70" customWidth="1" min="2" max="2"/>
  </cols>
  <sheetData>
    <row r="1">
      <c r="A1" s="15" t="inlineStr">
        <is>
          <t>Reproducibility</t>
        </is>
      </c>
    </row>
    <row r="2">
      <c r="A2" s="2" t="inlineStr">
        <is>
          <t>Riproducibilità</t>
        </is>
      </c>
    </row>
    <row r="3">
      <c r="A3" s="26" t="inlineStr">
        <is>
          <t>ACTIVE SCENARIO →</t>
        </is>
      </c>
      <c r="B3" s="27" t="inlineStr">
        <is>
          <t>SCENARIO ATTIVO →</t>
        </is>
      </c>
      <c r="C3" s="59">
        <f>CHOOSE(scenario_index,"WORST","BASE","BEST")</f>
        <v/>
      </c>
    </row>
    <row r="4">
      <c r="A4" s="2" t="inlineStr">
        <is>
          <t>Every workbook emitted by `modelforge build` carries this metadata. The spec SHA-256 is deterministic: two workbooks built from identical spec bytes will match. Use `modelforge verify &lt;xlsx&gt; --spec &lt;yaml&gt;` to confirm a workbook was built from a given spec.</t>
        </is>
      </c>
    </row>
    <row r="5">
      <c r="A5" s="17" t="inlineStr">
        <is>
          <t>Spec SHA-256</t>
        </is>
      </c>
      <c r="B5" s="55" t="inlineStr">
        <is>
          <t>aca263f261e6272e53d226bfe5a2cd88676c7217bd9ff99f744ee48fbda43e1d</t>
        </is>
      </c>
    </row>
    <row r="6">
      <c r="A6" s="17" t="inlineStr">
        <is>
          <t>ModelForge version</t>
        </is>
      </c>
      <c r="B6" s="5" t="inlineStr">
        <is>
          <t>0.1.0</t>
        </is>
      </c>
    </row>
    <row r="7">
      <c r="A7" s="17" t="inlineStr">
        <is>
          <t>Python version</t>
        </is>
      </c>
      <c r="B7" s="5" t="inlineStr">
        <is>
          <t>3.14.0</t>
        </is>
      </c>
    </row>
    <row r="8">
      <c r="A8" s="17" t="inlineStr">
        <is>
          <t>Build timestamp (UTC)</t>
        </is>
      </c>
      <c r="B8" s="5" t="inlineStr">
        <is>
          <t>2026-01-01T00:00:00+00:00</t>
        </is>
      </c>
    </row>
    <row r="9">
      <c r="A9" s="17" t="inlineStr">
        <is>
          <t>Spec source</t>
        </is>
      </c>
      <c r="B9" s="5" t="inlineStr">
        <is>
          <t>C:\Users\lukep\Desktop\Projects AI\ModelForge\benchmarks\specs\three_statement_mfg.yaml</t>
        </is>
      </c>
    </row>
    <row r="10">
      <c r="A10" s="17" t="inlineStr">
        <is>
          <t>Host</t>
        </is>
      </c>
      <c r="B10" s="5" t="inlineStr">
        <is>
          <t>Windows 11</t>
        </is>
      </c>
    </row>
    <row r="11">
      <c r="A11" s="17" t="inlineStr">
        <is>
          <t>Python impl</t>
        </is>
      </c>
      <c r="B11" s="5" t="inlineStr">
        <is>
          <t>CPython 3.14</t>
        </is>
      </c>
    </row>
  </sheetData>
  <conditionalFormatting sqref="C3">
    <cfRule type="cellIs" priority="1" operator="equal" dxfId="0">
      <formula>"WORST"</formula>
    </cfRule>
    <cfRule type="cellIs" priority="2" operator="equal" dxfId="1">
      <formula>"BASE"</formula>
    </cfRule>
    <cfRule type="cellIs" priority="3" operator="equal" dxfId="2">
      <formula>"BEST"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