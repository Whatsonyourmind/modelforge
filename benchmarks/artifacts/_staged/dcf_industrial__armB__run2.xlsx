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</sheets>
  <definedNames>
    <definedName name="_xlnm.Print_Area" localSheetId="0">'Summary'!$A$1:$C$26</definedName>
    <definedName name="_xlnm.Print_Area" localSheetId="1">'Assumptions'!$A$1:$H$32</definedName>
    <definedName name="_xlnm.Print_Area" localSheetId="2">'WACC'!$A$1:$C$20</definedName>
    <definedName name="_xlnm.Print_Area" localSheetId="3">'DCF'!$A$1:$H$48</definedName>
    <definedName name="_xlnm.Print_Area" localSheetId="4">'Sensitivity'!$A$1:$G$25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;(#,##0.0)"/>
    <numFmt numFmtId="165" formatCode="$#,##0.00"/>
    <numFmt numFmtId="166" formatCode="0.0%"/>
    <numFmt numFmtId="167" formatCode="0.0000%"/>
    <numFmt numFmtId="168" formatCode="0.00000%"/>
    <numFmt numFmtId="169" formatCode="0.000%"/>
    <numFmt numFmtId="170" formatCode="0.0000"/>
    <numFmt numFmtId="171" formatCode="0.000000"/>
    <numFmt numFmtId="172" formatCode="0.0000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6100"/>
      <sz val="10"/>
    </font>
    <font>
      <name val="Calibri"/>
      <b val="1"/>
      <color rgb="00FFFFFF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bottom style="thin">
        <color rgb="00808080"/>
      </bottom>
    </border>
    <border>
      <top style="thin">
        <color rgb="00808080"/>
      </top>
    </border>
    <border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8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4" fillId="0" borderId="0" pivotButton="0" quotePrefix="0" xfId="0"/>
    <xf numFmtId="166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0" fontId="8" fillId="0" borderId="0" applyAlignment="1" pivotButton="0" quotePrefix="0" xfId="0">
      <alignment horizontal="center"/>
    </xf>
    <xf numFmtId="164" fontId="5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0" fontId="3" fillId="0" borderId="1" applyAlignment="1" pivotButton="0" quotePrefix="0" xfId="0">
      <alignment horizontal="center"/>
    </xf>
    <xf numFmtId="166" fontId="5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10" fontId="6" fillId="0" borderId="0" pivotButton="0" quotePrefix="0" xfId="0"/>
    <xf numFmtId="10" fontId="3" fillId="0" borderId="2" pivotButton="0" quotePrefix="0" xfId="0"/>
    <xf numFmtId="167" fontId="3" fillId="0" borderId="2" pivotButton="0" quotePrefix="0" xfId="0"/>
    <xf numFmtId="168" fontId="3" fillId="2" borderId="3" pivotButton="0" quotePrefix="0" xfId="0"/>
    <xf numFmtId="169" fontId="4" fillId="0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4" fontId="3" fillId="0" borderId="0" pivotButton="0" quotePrefix="0" xfId="0"/>
    <xf numFmtId="164" fontId="3" fillId="0" borderId="2" pivotButton="0" quotePrefix="0" xfId="0"/>
    <xf numFmtId="164" fontId="3" fillId="0" borderId="3" pivotButton="0" quotePrefix="0" xfId="0"/>
    <xf numFmtId="1" fontId="4" fillId="0" borderId="0" applyAlignment="1" pivotButton="0" quotePrefix="0" xfId="0">
      <alignment horizontal="center"/>
    </xf>
    <xf numFmtId="170" fontId="4" fillId="0" borderId="0" pivotButton="0" quotePrefix="0" xfId="0"/>
    <xf numFmtId="165" fontId="3" fillId="0" borderId="3" pivotButton="0" quotePrefix="0" xfId="0"/>
    <xf numFmtId="165" fontId="6" fillId="0" borderId="0" pivotButton="0" quotePrefix="0" xfId="0"/>
    <xf numFmtId="171" fontId="4" fillId="0" borderId="0" pivotButton="0" quotePrefix="0" xfId="0"/>
    <xf numFmtId="0" fontId="3" fillId="0" borderId="0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69" fontId="4" fillId="0" borderId="0" applyAlignment="1" pivotButton="0" quotePrefix="0" xfId="0">
      <alignment horizontal="right"/>
    </xf>
    <xf numFmtId="164" fontId="3" fillId="4" borderId="0" pivotButton="0" quotePrefix="0" xfId="0"/>
    <xf numFmtId="2" fontId="4" fillId="0" borderId="0" pivotButton="0" quotePrefix="0" xfId="0"/>
    <xf numFmtId="2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50" customWidth="1" min="3" max="3"/>
  </cols>
  <sheetData>
    <row r="1">
      <c r="A1" s="1" t="inlineStr">
        <is>
          <t>IndustrialCo — DCF Valuation Summary (USD millions)</t>
        </is>
      </c>
    </row>
    <row r="2">
      <c r="A2" s="2" t="inlineStr">
        <is>
          <t>Synthetic benchmark BM-DCF-001. Every figure below is a live link — no hardcoded outputs.</t>
        </is>
      </c>
    </row>
    <row r="4">
      <c r="A4" s="3" t="inlineStr">
        <is>
          <t>HEADLINE OUTPUTS</t>
        </is>
      </c>
      <c r="B4" s="4" t="n"/>
      <c r="C4" s="4" t="n"/>
    </row>
    <row r="5">
      <c r="A5" s="5" t="inlineStr">
        <is>
          <t>WACC (weighted average cost of capital)</t>
        </is>
      </c>
      <c r="B5" s="6">
        <f>WACC!$B$15</f>
        <v/>
      </c>
      <c r="C5" s="2" t="inlineStr">
        <is>
          <t>CAPM build — see the rate-build sheet</t>
        </is>
      </c>
    </row>
    <row r="6">
      <c r="A6" s="5" t="inlineStr">
        <is>
          <t>Enterprise value</t>
        </is>
      </c>
      <c r="B6" s="7">
        <f>DCF!$D$33</f>
        <v/>
      </c>
      <c r="C6" s="2" t="inlineStr">
        <is>
          <t>PV of explicit FCFF + PV of terminal amount ($m)</t>
        </is>
      </c>
    </row>
    <row r="7">
      <c r="A7" s="5" t="inlineStr">
        <is>
          <t>Equity value</t>
        </is>
      </c>
      <c r="B7" s="7">
        <f>DCF!$D$35</f>
        <v/>
      </c>
      <c r="C7" s="2" t="inlineStr">
        <is>
          <t>firm PV less net debt, the only bridge item ($m)</t>
        </is>
      </c>
    </row>
    <row r="8">
      <c r="A8" s="5" t="inlineStr">
        <is>
          <t>Implied price per share</t>
        </is>
      </c>
      <c r="B8" s="8">
        <f>DCF!$D$37</f>
        <v/>
      </c>
      <c r="C8" s="2" t="inlineStr">
        <is>
          <t>vs reference of $8.00 — premium/(discount) below</t>
        </is>
      </c>
    </row>
    <row r="9">
      <c r="A9" s="9" t="inlineStr">
        <is>
          <t>Premium / (discount) to reference price</t>
        </is>
      </c>
      <c r="B9" s="10">
        <f>DCF!$D$39</f>
        <v/>
      </c>
    </row>
    <row r="11">
      <c r="A11" s="3" t="inlineStr">
        <is>
          <t>MACHINE-READABLE HEADLINES (BRIEF §5 LABELS)</t>
        </is>
      </c>
      <c r="B11" s="4" t="n"/>
      <c r="C11" s="4" t="n"/>
    </row>
    <row r="12">
      <c r="A12" s="9" t="inlineStr">
        <is>
          <t>wacc</t>
        </is>
      </c>
      <c r="B12" s="11">
        <f>WACC!$B$15</f>
        <v/>
      </c>
      <c r="C12" s="2" t="inlineStr">
        <is>
          <t>decimal</t>
        </is>
      </c>
    </row>
    <row r="13">
      <c r="A13" s="9" t="inlineStr">
        <is>
          <t>enterprise_value</t>
        </is>
      </c>
      <c r="B13" s="12">
        <f>DCF!$D$33</f>
        <v/>
      </c>
      <c r="C13" s="2" t="inlineStr">
        <is>
          <t>$m</t>
        </is>
      </c>
    </row>
    <row r="14">
      <c r="A14" s="9" t="inlineStr">
        <is>
          <t>equity_value</t>
        </is>
      </c>
      <c r="B14" s="12">
        <f>DCF!$D$35</f>
        <v/>
      </c>
      <c r="C14" s="2" t="inlineStr">
        <is>
          <t>$m</t>
        </is>
      </c>
    </row>
    <row r="15">
      <c r="A15" s="9" t="inlineStr">
        <is>
          <t>implied_price_per_share</t>
        </is>
      </c>
      <c r="B15" s="13">
        <f>DCF!$D$37</f>
        <v/>
      </c>
      <c r="C15" s="2" t="inlineStr">
        <is>
          <t>$</t>
        </is>
      </c>
    </row>
    <row r="17">
      <c r="A17" s="3" t="inlineStr">
        <is>
          <t>VALUE COMPOSITION</t>
        </is>
      </c>
      <c r="B17" s="4" t="n"/>
      <c r="C17" s="4" t="n"/>
    </row>
    <row r="18">
      <c r="A18" s="9" t="inlineStr">
        <is>
          <t>PV of explicit FCFF (Years 1-5)</t>
        </is>
      </c>
      <c r="B18" s="12">
        <f>DCF!$D$31</f>
        <v/>
      </c>
    </row>
    <row r="19">
      <c r="A19" s="9" t="inlineStr">
        <is>
          <t>PV of terminal amount</t>
        </is>
      </c>
      <c r="B19" s="12">
        <f>DCF!$D$32</f>
        <v/>
      </c>
    </row>
    <row r="20">
      <c r="A20" s="9" t="inlineStr">
        <is>
          <t>Terminal share of total PV</t>
        </is>
      </c>
      <c r="B20" s="10">
        <f>DCF!$D$40</f>
        <v/>
      </c>
    </row>
    <row r="21">
      <c r="A21" s="9" t="inlineStr">
        <is>
          <t>Net debt</t>
        </is>
      </c>
      <c r="B21" s="12">
        <f>Assumptions!$B$8</f>
        <v/>
      </c>
    </row>
    <row r="22">
      <c r="A22" s="9" t="inlineStr">
        <is>
          <t>Shares outstanding (m)</t>
        </is>
      </c>
      <c r="B22" s="12">
        <f>Assumptions!$B$9</f>
        <v/>
      </c>
    </row>
    <row r="24">
      <c r="A24" s="5" t="inlineStr">
        <is>
          <t>Model checks status (from DCF sheet)</t>
        </is>
      </c>
      <c r="B24" s="14">
        <f>DCF!$D$46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8" customWidth="1" min="8" max="8"/>
  </cols>
  <sheetData>
    <row r="1">
      <c r="A1" s="1" t="inlineStr">
        <is>
          <t>Assumptions &amp; Sources — IndustrialCo DCF (benchmark BM-DCF-001)</t>
        </is>
      </c>
    </row>
    <row r="2">
      <c r="A2" s="2" t="inlineStr">
        <is>
          <t>Every hardcoded input in the workbook lives on this sheet. USD millions unless noted. Source for all inputs: deal brief benchmarks/briefs/dcf_industrial.md (synthetic, frozen).</t>
        </is>
      </c>
    </row>
    <row r="4">
      <c r="A4" s="3" t="inlineStr">
        <is>
          <t>TARGET &amp; CAPITALIZATION (BRIEF §1)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9" t="inlineStr">
        <is>
          <t>Last FY (FY0) revenue ($m)</t>
        </is>
      </c>
      <c r="B5" s="15" t="n">
        <v>1000</v>
      </c>
      <c r="H5" s="2" t="inlineStr">
        <is>
          <t>Brief §1</t>
        </is>
      </c>
    </row>
    <row r="6">
      <c r="A6" s="9" t="inlineStr">
        <is>
          <t>Last FY (FY0) EBITDA ($m)</t>
        </is>
      </c>
      <c r="B6" s="15" t="n">
        <v>180</v>
      </c>
      <c r="H6" s="2" t="inlineStr">
        <is>
          <t>Brief §1 (18.0% margin)</t>
        </is>
      </c>
    </row>
    <row r="7">
      <c r="A7" s="9" t="inlineStr">
        <is>
          <t>FY0 EBITDA margin — cross-check</t>
        </is>
      </c>
      <c r="B7" s="16">
        <f>B6/B5</f>
        <v/>
      </c>
      <c r="H7" s="2" t="inlineStr">
        <is>
          <t>Derived: FY0 EBITDA / FY0 revenue (brief states 18.0%)</t>
        </is>
      </c>
    </row>
    <row r="8">
      <c r="A8" s="9" t="inlineStr">
        <is>
          <t>Net debt ($m)</t>
        </is>
      </c>
      <c r="B8" s="15" t="n">
        <v>250</v>
      </c>
      <c r="H8" s="2" t="inlineStr">
        <is>
          <t>Brief §1; §5 — the firm-to-shareholder bridge is net debt only</t>
        </is>
      </c>
    </row>
    <row r="9">
      <c r="A9" s="9" t="inlineStr">
        <is>
          <t>Shares outstanding (m)</t>
        </is>
      </c>
      <c r="B9" s="15" t="n">
        <v>150</v>
      </c>
      <c r="H9" s="2" t="inlineStr">
        <is>
          <t>Brief §1</t>
        </is>
      </c>
    </row>
    <row r="10">
      <c r="A10" s="9" t="inlineStr">
        <is>
          <t>Reference price ($ per sh.)</t>
        </is>
      </c>
      <c r="B10" s="17" t="n">
        <v>8</v>
      </c>
      <c r="H10" s="2" t="inlineStr">
        <is>
          <t>Brief §1 — premium/(discount) display only</t>
        </is>
      </c>
    </row>
    <row r="12">
      <c r="A12" s="3" t="inlineStr">
        <is>
          <t>OPERATING DRIVERS — PROJECTION YEARS 1-5 (BRIEF §2)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C13" s="18" t="inlineStr">
        <is>
          <t>Year 1</t>
        </is>
      </c>
      <c r="D13" s="18" t="inlineStr">
        <is>
          <t>Year 2</t>
        </is>
      </c>
      <c r="E13" s="18" t="inlineStr">
        <is>
          <t>Year 3</t>
        </is>
      </c>
      <c r="F13" s="18" t="inlineStr">
        <is>
          <t>Year 4</t>
        </is>
      </c>
      <c r="G13" s="18" t="inlineStr">
        <is>
          <t>Year 5</t>
        </is>
      </c>
    </row>
    <row r="14">
      <c r="A14" s="9" t="inlineStr">
        <is>
          <t>Revenue growth (%)</t>
        </is>
      </c>
      <c r="C14" s="19" t="n">
        <v>0.04</v>
      </c>
      <c r="D14" s="19" t="n">
        <v>0.035</v>
      </c>
      <c r="E14" s="19" t="n">
        <v>0.03</v>
      </c>
      <c r="F14" s="19" t="n">
        <v>0.025</v>
      </c>
      <c r="G14" s="19" t="n">
        <v>0.02</v>
      </c>
      <c r="H14" s="2" t="inlineStr">
        <is>
          <t>Brief §2 — revenue fade</t>
        </is>
      </c>
    </row>
    <row r="15">
      <c r="A15" s="9" t="inlineStr">
        <is>
          <t>EBITDA margin (%)</t>
        </is>
      </c>
      <c r="C15" s="19" t="n">
        <v>0.18</v>
      </c>
      <c r="D15" s="19" t="n">
        <v>0.18</v>
      </c>
      <c r="E15" s="19" t="n">
        <v>0.18</v>
      </c>
      <c r="F15" s="19" t="n">
        <v>0.18</v>
      </c>
      <c r="G15" s="19" t="n">
        <v>0.18</v>
      </c>
      <c r="H15" s="2" t="inlineStr">
        <is>
          <t>Brief §2 — flat 18.0% throughout</t>
        </is>
      </c>
    </row>
    <row r="16">
      <c r="A16" s="9" t="inlineStr">
        <is>
          <t>D&amp;A (% of revenue)</t>
        </is>
      </c>
      <c r="B16" s="19" t="n">
        <v>0.06</v>
      </c>
      <c r="H16" s="2" t="inlineStr">
        <is>
          <t>Brief §2 — so EBIT margin = 12.0%</t>
        </is>
      </c>
    </row>
    <row r="17">
      <c r="A17" s="9" t="inlineStr">
        <is>
          <t>Capex (% of revenue)</t>
        </is>
      </c>
      <c r="B17" s="19" t="n">
        <v>0.065</v>
      </c>
      <c r="H17" s="2" t="inlineStr">
        <is>
          <t>Brief §2</t>
        </is>
      </c>
    </row>
    <row r="18">
      <c r="A18" s="9" t="inlineStr">
        <is>
          <t>Increase in NWC (% of Δ revenue)</t>
        </is>
      </c>
      <c r="B18" s="19" t="n">
        <v>0.1</v>
      </c>
      <c r="H18" s="2" t="inlineStr">
        <is>
          <t>Brief §2 — Year 1 Δ measured vs FY0 revenue of 1,000.0</t>
        </is>
      </c>
    </row>
    <row r="19">
      <c r="A19" s="9" t="inlineStr">
        <is>
          <t>Cash tax rate (on EBIT)</t>
        </is>
      </c>
      <c r="B19" s="19" t="n">
        <v>0.25</v>
      </c>
      <c r="H19" s="2" t="inlineStr">
        <is>
          <t>Brief §2 — EBIT is positive every year</t>
        </is>
      </c>
    </row>
    <row r="21">
      <c r="A21" s="3" t="inlineStr">
        <is>
          <t>DISCOUNT RATE &amp; TERMINAL INPUTS (BRIEF §3-§4)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9" t="inlineStr">
        <is>
          <t>Risk-free rate — 10Y UST</t>
        </is>
      </c>
      <c r="B22" s="20" t="n">
        <v>0.0425</v>
      </c>
      <c r="H22" s="2" t="inlineStr">
        <is>
          <t>Brief §3</t>
        </is>
      </c>
    </row>
    <row r="23">
      <c r="A23" s="9" t="inlineStr">
        <is>
          <t>Equity risk premium</t>
        </is>
      </c>
      <c r="B23" s="20" t="n">
        <v>0.05</v>
      </c>
      <c r="H23" s="2" t="inlineStr">
        <is>
          <t>Brief §3</t>
        </is>
      </c>
    </row>
    <row r="24">
      <c r="A24" s="9" t="inlineStr">
        <is>
          <t>Beta (levered)</t>
        </is>
      </c>
      <c r="B24" s="21" t="n">
        <v>1.1</v>
      </c>
      <c r="H24" s="2" t="inlineStr">
        <is>
          <t>Brief §3 — no relevering, no extra premia</t>
        </is>
      </c>
    </row>
    <row r="25">
      <c r="A25" s="9" t="inlineStr">
        <is>
          <t>Pre-tax cost of debt</t>
        </is>
      </c>
      <c r="B25" s="20" t="n">
        <v>0.0575</v>
      </c>
      <c r="H25" s="2" t="inlineStr">
        <is>
          <t>Brief §3</t>
        </is>
      </c>
    </row>
    <row r="26">
      <c r="A26" s="9" t="inlineStr">
        <is>
          <t>Target D/(D+E)</t>
        </is>
      </c>
      <c r="B26" s="19" t="n">
        <v>0.3</v>
      </c>
      <c r="H26" s="2" t="inlineStr">
        <is>
          <t>Brief §3</t>
        </is>
      </c>
    </row>
    <row r="27">
      <c r="A27" s="9" t="inlineStr">
        <is>
          <t>Terminal growth (g)</t>
        </is>
      </c>
      <c r="B27" s="19" t="n">
        <v>0.02</v>
      </c>
      <c r="H27" s="2" t="inlineStr">
        <is>
          <t>Brief §4 — Gordon growth; g &lt; risk-free &lt; discount rate</t>
        </is>
      </c>
    </row>
    <row r="29">
      <c r="A29" s="2" t="inlineStr">
        <is>
          <t>Conventions (Brief §4-§5): end-of-year discounting, t = 1..5, full first year, no mid-year convention, no stub. Terminal year normalization assumes capex = D&amp;A in perpetuity. No minority interest, pension deficit, preferred, leases or cross-holdings.</t>
        </is>
      </c>
    </row>
    <row r="30">
      <c r="A30" s="2" t="inlineStr">
        <is>
          <t>Downstream sheets contain no hardcoded numbers — they reference this sheet only.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52" customWidth="1" min="3" max="3"/>
  </cols>
  <sheetData>
    <row r="1">
      <c r="A1" s="1" t="inlineStr">
        <is>
          <t>Discount Rate Build — CAPM (plain, per brief §3: no extra premia)</t>
        </is>
      </c>
    </row>
    <row r="2">
      <c r="A2" s="2" t="inlineStr">
        <is>
          <t>Inputs link live from the Assumptions sheet; the output rate feeds the DCF and Sensitivity sheets.</t>
        </is>
      </c>
    </row>
    <row r="3">
      <c r="A3" s="9" t="inlineStr">
        <is>
          <t>Risk-free rate (10Y UST)</t>
        </is>
      </c>
      <c r="B3" s="22">
        <f>Assumptions!$B$22</f>
        <v/>
      </c>
    </row>
    <row r="4">
      <c r="A4" s="9" t="inlineStr">
        <is>
          <t>Equity risk premium</t>
        </is>
      </c>
      <c r="B4" s="22">
        <f>Assumptions!$B$23</f>
        <v/>
      </c>
    </row>
    <row r="5">
      <c r="A5" s="9" t="inlineStr">
        <is>
          <t>Beta (levered)</t>
        </is>
      </c>
      <c r="B5" s="13">
        <f>Assumptions!$B$24</f>
        <v/>
      </c>
    </row>
    <row r="6">
      <c r="A6" s="5" t="inlineStr">
        <is>
          <t>Cost of equity (Ke = rf + β × ERP)</t>
        </is>
      </c>
      <c r="B6" s="23">
        <f>B3+B5*B4</f>
        <v/>
      </c>
      <c r="C6" s="2" t="inlineStr">
        <is>
          <t>i.e. 4.25% + 1.10 × 5.00%</t>
        </is>
      </c>
    </row>
    <row r="8">
      <c r="A8" s="9" t="inlineStr">
        <is>
          <t>Pre-tax cost of debt</t>
        </is>
      </c>
      <c r="B8" s="22">
        <f>Assumptions!$B$25</f>
        <v/>
      </c>
    </row>
    <row r="9">
      <c r="A9" s="9" t="inlineStr">
        <is>
          <t>Cash tax rate</t>
        </is>
      </c>
      <c r="B9" s="10">
        <f>Assumptions!$B$19</f>
        <v/>
      </c>
    </row>
    <row r="10">
      <c r="A10" s="5" t="inlineStr">
        <is>
          <t>After-tax cost of debt (= Kd × (1 − t))</t>
        </is>
      </c>
      <c r="B10" s="24">
        <f>B8*(1-B9)</f>
        <v/>
      </c>
    </row>
    <row r="12">
      <c r="A12" s="9" t="inlineStr">
        <is>
          <t>Target debt weight D/(D+E)</t>
        </is>
      </c>
      <c r="B12" s="10">
        <f>Assumptions!$B$26</f>
        <v/>
      </c>
    </row>
    <row r="13">
      <c r="A13" s="9" t="inlineStr">
        <is>
          <t>Implied equity weight E/(D+E) (= 1 − D/(D+E))</t>
        </is>
      </c>
      <c r="B13" s="16">
        <f>1-B12</f>
        <v/>
      </c>
    </row>
    <row r="15">
      <c r="A15" s="3" t="inlineStr">
        <is>
          <t>WACC (weighted average cost of capital)</t>
        </is>
      </c>
      <c r="B15" s="25">
        <f>B13*B6+B12*B10</f>
        <v/>
      </c>
      <c r="C15" s="2" t="inlineStr">
        <is>
          <t>i.e. E/(D+E) × Ke + D/(D+E) × after-tax Kd</t>
        </is>
      </c>
    </row>
    <row r="17">
      <c r="A17" s="9" t="inlineStr">
        <is>
          <t>Check: spread of discount rate over terminal g (&gt; 0)</t>
        </is>
      </c>
      <c r="B17" s="26">
        <f>B15-Assumptions!$B$27</f>
        <v/>
      </c>
    </row>
    <row r="18">
      <c r="A18" s="9" t="inlineStr">
        <is>
          <t>Check: spread of risk-free over terminal g (&gt; 0, brief §4)</t>
        </is>
      </c>
      <c r="B18" s="26">
        <f>Assumptions!$B$22-Assumptions!$B$27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IndustrialCo — Unlevered DCF (FCFF method, USD millions)</t>
        </is>
      </c>
    </row>
    <row r="2">
      <c r="A2" s="2" t="inlineStr">
        <is>
          <t>End-of-year discounting (t = 1..5, full first year); discount rate links live from the rate-build sheet.</t>
        </is>
      </c>
    </row>
    <row r="4">
      <c r="C4" s="27" t="inlineStr">
        <is>
          <t>FY0</t>
        </is>
      </c>
      <c r="D4" s="27" t="inlineStr">
        <is>
          <t>FY1</t>
        </is>
      </c>
      <c r="E4" s="27" t="inlineStr">
        <is>
          <t>FY2</t>
        </is>
      </c>
      <c r="F4" s="27" t="inlineStr">
        <is>
          <t>FY3</t>
        </is>
      </c>
      <c r="G4" s="27" t="inlineStr">
        <is>
          <t>FY4</t>
        </is>
      </c>
      <c r="H4" s="27" t="inlineStr">
        <is>
          <t>FY5</t>
        </is>
      </c>
    </row>
    <row r="5">
      <c r="A5" s="9" t="inlineStr">
        <is>
          <t>Revenue growth</t>
        </is>
      </c>
      <c r="D5" s="10">
        <f>Assumptions!C14</f>
        <v/>
      </c>
      <c r="E5" s="10">
        <f>Assumptions!D14</f>
        <v/>
      </c>
      <c r="F5" s="10">
        <f>Assumptions!E14</f>
        <v/>
      </c>
      <c r="G5" s="10">
        <f>Assumptions!F14</f>
        <v/>
      </c>
      <c r="H5" s="10">
        <f>Assumptions!G14</f>
        <v/>
      </c>
    </row>
    <row r="6">
      <c r="A6" s="9" t="inlineStr">
        <is>
          <t>Revenue</t>
        </is>
      </c>
      <c r="C6" s="12">
        <f>Assumptions!$B$5</f>
        <v/>
      </c>
      <c r="D6" s="28">
        <f>C6*(1+D5)</f>
        <v/>
      </c>
      <c r="E6" s="28">
        <f>D6*(1+E5)</f>
        <v/>
      </c>
      <c r="F6" s="28">
        <f>E6*(1+F5)</f>
        <v/>
      </c>
      <c r="G6" s="28">
        <f>F6*(1+G5)</f>
        <v/>
      </c>
      <c r="H6" s="28">
        <f>G6*(1+H5)</f>
        <v/>
      </c>
    </row>
    <row r="7">
      <c r="A7" s="9" t="inlineStr">
        <is>
          <t>EBITDA margin</t>
        </is>
      </c>
      <c r="D7" s="10">
        <f>Assumptions!C15</f>
        <v/>
      </c>
      <c r="E7" s="10">
        <f>Assumptions!D15</f>
        <v/>
      </c>
      <c r="F7" s="10">
        <f>Assumptions!E15</f>
        <v/>
      </c>
      <c r="G7" s="10">
        <f>Assumptions!F15</f>
        <v/>
      </c>
      <c r="H7" s="10">
        <f>Assumptions!G15</f>
        <v/>
      </c>
    </row>
    <row r="8">
      <c r="A8" s="5" t="inlineStr">
        <is>
          <t>EBITDA</t>
        </is>
      </c>
      <c r="C8" s="7">
        <f>Assumptions!$B$6</f>
        <v/>
      </c>
      <c r="D8" s="29">
        <f>D6*D7</f>
        <v/>
      </c>
      <c r="E8" s="29">
        <f>E6*E7</f>
        <v/>
      </c>
      <c r="F8" s="29">
        <f>F6*F7</f>
        <v/>
      </c>
      <c r="G8" s="29">
        <f>G6*G7</f>
        <v/>
      </c>
      <c r="H8" s="29">
        <f>H6*H7</f>
        <v/>
      </c>
    </row>
    <row r="9">
      <c r="A9" s="9" t="inlineStr">
        <is>
          <t>Less: D&amp;A (6.0% of revenue)</t>
        </is>
      </c>
      <c r="D9" s="28">
        <f>-D6*Assumptions!$B$16</f>
        <v/>
      </c>
      <c r="E9" s="28">
        <f>-E6*Assumptions!$B$16</f>
        <v/>
      </c>
      <c r="F9" s="28">
        <f>-F6*Assumptions!$B$16</f>
        <v/>
      </c>
      <c r="G9" s="28">
        <f>-G6*Assumptions!$B$16</f>
        <v/>
      </c>
      <c r="H9" s="28">
        <f>-H6*Assumptions!$B$16</f>
        <v/>
      </c>
    </row>
    <row r="10">
      <c r="A10" s="5" t="inlineStr">
        <is>
          <t>EBIT</t>
        </is>
      </c>
      <c r="D10" s="30">
        <f>D8+D9</f>
        <v/>
      </c>
      <c r="E10" s="30">
        <f>E8+E9</f>
        <v/>
      </c>
      <c r="F10" s="30">
        <f>F8+F9</f>
        <v/>
      </c>
      <c r="G10" s="30">
        <f>G8+G9</f>
        <v/>
      </c>
      <c r="H10" s="30">
        <f>H8+H9</f>
        <v/>
      </c>
    </row>
    <row r="11">
      <c r="A11" s="9" t="inlineStr">
        <is>
          <t>Less: cash taxes (25% of EBIT)</t>
        </is>
      </c>
      <c r="D11" s="28">
        <f>-D10*Assumptions!$B$19</f>
        <v/>
      </c>
      <c r="E11" s="28">
        <f>-E10*Assumptions!$B$19</f>
        <v/>
      </c>
      <c r="F11" s="28">
        <f>-F10*Assumptions!$B$19</f>
        <v/>
      </c>
      <c r="G11" s="28">
        <f>-G10*Assumptions!$B$19</f>
        <v/>
      </c>
      <c r="H11" s="28">
        <f>-H10*Assumptions!$B$19</f>
        <v/>
      </c>
    </row>
    <row r="12">
      <c r="A12" s="5" t="inlineStr">
        <is>
          <t>NOPAT</t>
        </is>
      </c>
      <c r="D12" s="30">
        <f>D10+D11</f>
        <v/>
      </c>
      <c r="E12" s="30">
        <f>E10+E11</f>
        <v/>
      </c>
      <c r="F12" s="30">
        <f>F10+F11</f>
        <v/>
      </c>
      <c r="G12" s="30">
        <f>G10+G11</f>
        <v/>
      </c>
      <c r="H12" s="30">
        <f>H10+H11</f>
        <v/>
      </c>
    </row>
    <row r="13">
      <c r="A13" s="9" t="inlineStr">
        <is>
          <t>Add: D&amp;A</t>
        </is>
      </c>
      <c r="D13" s="28">
        <f>-D9</f>
        <v/>
      </c>
      <c r="E13" s="28">
        <f>-E9</f>
        <v/>
      </c>
      <c r="F13" s="28">
        <f>-F9</f>
        <v/>
      </c>
      <c r="G13" s="28">
        <f>-G9</f>
        <v/>
      </c>
      <c r="H13" s="28">
        <f>-H9</f>
        <v/>
      </c>
    </row>
    <row r="14">
      <c r="A14" s="9" t="inlineStr">
        <is>
          <t>Less: capex (6.5% of revenue)</t>
        </is>
      </c>
      <c r="D14" s="28">
        <f>-D6*Assumptions!$B$17</f>
        <v/>
      </c>
      <c r="E14" s="28">
        <f>-E6*Assumptions!$B$17</f>
        <v/>
      </c>
      <c r="F14" s="28">
        <f>-F6*Assumptions!$B$17</f>
        <v/>
      </c>
      <c r="G14" s="28">
        <f>-G6*Assumptions!$B$17</f>
        <v/>
      </c>
      <c r="H14" s="28">
        <f>-H6*Assumptions!$B$17</f>
        <v/>
      </c>
    </row>
    <row r="15">
      <c r="A15" s="9" t="inlineStr">
        <is>
          <t>Less: increase in NWC (10% of Δ revenue)</t>
        </is>
      </c>
      <c r="D15" s="28">
        <f>-(D6-C6)*Assumptions!$B$18</f>
        <v/>
      </c>
      <c r="E15" s="28">
        <f>-(E6-D6)*Assumptions!$B$18</f>
        <v/>
      </c>
      <c r="F15" s="28">
        <f>-(F6-E6)*Assumptions!$B$18</f>
        <v/>
      </c>
      <c r="G15" s="28">
        <f>-(G6-F6)*Assumptions!$B$18</f>
        <v/>
      </c>
      <c r="H15" s="28">
        <f>-(H6-G6)*Assumptions!$B$18</f>
        <v/>
      </c>
    </row>
    <row r="16">
      <c r="A16" s="5" t="inlineStr">
        <is>
          <t>FCFF — free cash flow to the firm</t>
        </is>
      </c>
      <c r="D16" s="31">
        <f>D12+D13+D14+D15</f>
        <v/>
      </c>
      <c r="E16" s="31">
        <f>E12+E13+E14+E15</f>
        <v/>
      </c>
      <c r="F16" s="31">
        <f>F12+F13+F14+F15</f>
        <v/>
      </c>
      <c r="G16" s="31">
        <f>G12+G13+G14+G15</f>
        <v/>
      </c>
      <c r="H16" s="31">
        <f>H12+H13+H14+H15</f>
        <v/>
      </c>
    </row>
    <row r="18">
      <c r="A18" s="9" t="inlineStr">
        <is>
          <t>Discount period t (end-of-year)</t>
        </is>
      </c>
      <c r="C18" s="32">
        <f>C6-C6</f>
        <v/>
      </c>
      <c r="D18" s="32">
        <f>C18+1</f>
        <v/>
      </c>
      <c r="E18" s="32">
        <f>D18+1</f>
        <v/>
      </c>
      <c r="F18" s="32">
        <f>E18+1</f>
        <v/>
      </c>
      <c r="G18" s="32">
        <f>F18+1</f>
        <v/>
      </c>
      <c r="H18" s="32">
        <f>G18+1</f>
        <v/>
      </c>
    </row>
    <row r="19">
      <c r="A19" s="9" t="inlineStr">
        <is>
          <t>Discount factor @ Kw</t>
        </is>
      </c>
      <c r="D19" s="33">
        <f>1/(1+WACC!$B$15)^D18</f>
        <v/>
      </c>
      <c r="E19" s="33">
        <f>1/(1+WACC!$B$15)^E18</f>
        <v/>
      </c>
      <c r="F19" s="33">
        <f>1/(1+WACC!$B$15)^F18</f>
        <v/>
      </c>
      <c r="G19" s="33">
        <f>1/(1+WACC!$B$15)^G18</f>
        <v/>
      </c>
      <c r="H19" s="33">
        <f>1/(1+WACC!$B$15)^H18</f>
        <v/>
      </c>
    </row>
    <row r="20">
      <c r="A20" s="5" t="inlineStr">
        <is>
          <t>PV of FCFF</t>
        </is>
      </c>
      <c r="D20" s="29">
        <f>D16*D19</f>
        <v/>
      </c>
      <c r="E20" s="29">
        <f>E16*E19</f>
        <v/>
      </c>
      <c r="F20" s="29">
        <f>F16*F19</f>
        <v/>
      </c>
      <c r="G20" s="29">
        <f>G16*G19</f>
        <v/>
      </c>
      <c r="H20" s="29">
        <f>H16*H19</f>
        <v/>
      </c>
    </row>
    <row r="22">
      <c r="A22" s="3" t="inlineStr">
        <is>
          <t>TERMINAL VALUE (GORDON GROWTH ON NORMALIZED FCF — BRIEF §4)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9" t="inlineStr">
        <is>
          <t>Terminal growth (g)</t>
        </is>
      </c>
      <c r="D23" s="10">
        <f>Assumptions!$B$27</f>
        <v/>
      </c>
    </row>
    <row r="24">
      <c r="A24" s="9" t="inlineStr">
        <is>
          <t>NOPAT — Year 5</t>
        </is>
      </c>
      <c r="D24" s="28">
        <f>H12</f>
        <v/>
      </c>
    </row>
    <row r="25">
      <c r="A25" s="9" t="inlineStr">
        <is>
          <t>Less: Year-5 increase in NWC, grown at (1 + g)</t>
        </is>
      </c>
      <c r="D25" s="28">
        <f>H15*(1+D23)</f>
        <v/>
      </c>
    </row>
    <row r="26">
      <c r="A26" s="5" t="inlineStr">
        <is>
          <t>Normalized terminal FCF (capex = D&amp;A in perpetuity)</t>
        </is>
      </c>
      <c r="D26" s="30">
        <f>D24+D25</f>
        <v/>
      </c>
    </row>
    <row r="27">
      <c r="A27" s="5" t="inlineStr">
        <is>
          <t>Terminal value (Gordon: FCF × (1+g) ÷ (Kw − g))</t>
        </is>
      </c>
      <c r="D27" s="29">
        <f>D26*(1+D23)/(WACC!$B$15-D23)</f>
        <v/>
      </c>
    </row>
    <row r="28">
      <c r="A28" s="5" t="inlineStr">
        <is>
          <t>PV of terminal value (× Year-5 discount factor)</t>
        </is>
      </c>
      <c r="D28" s="29">
        <f>D27*H19</f>
        <v/>
      </c>
    </row>
    <row r="30">
      <c r="A30" s="3" t="inlineStr">
        <is>
          <t>VALUATION BRIDGE (FIRM → SHAREHOLDERS)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9" t="inlineStr">
        <is>
          <t>PV of explicit FCFF (Years 1-5)</t>
        </is>
      </c>
      <c r="D31" s="28">
        <f>SUM(D20:H20)</f>
        <v/>
      </c>
    </row>
    <row r="32">
      <c r="A32" s="9" t="inlineStr">
        <is>
          <t>PV of terminal value</t>
        </is>
      </c>
      <c r="D32" s="28">
        <f>D28</f>
        <v/>
      </c>
    </row>
    <row r="33">
      <c r="A33" s="5" t="inlineStr">
        <is>
          <t>Enterprise value</t>
        </is>
      </c>
      <c r="D33" s="31">
        <f>D31+D32</f>
        <v/>
      </c>
    </row>
    <row r="34">
      <c r="A34" s="9" t="inlineStr">
        <is>
          <t>Less: net debt</t>
        </is>
      </c>
      <c r="D34" s="12">
        <f>-Assumptions!$B$8</f>
        <v/>
      </c>
    </row>
    <row r="35">
      <c r="A35" s="5" t="inlineStr">
        <is>
          <t>Equity value</t>
        </is>
      </c>
      <c r="D35" s="31">
        <f>D33+D34</f>
        <v/>
      </c>
    </row>
    <row r="36">
      <c r="A36" s="9" t="inlineStr">
        <is>
          <t>Shares outstanding (m)</t>
        </is>
      </c>
      <c r="D36" s="12">
        <f>Assumptions!$B$9</f>
        <v/>
      </c>
    </row>
    <row r="37">
      <c r="A37" s="5" t="inlineStr">
        <is>
          <t>Implied price per share</t>
        </is>
      </c>
      <c r="D37" s="34">
        <f>D35/D36</f>
        <v/>
      </c>
    </row>
    <row r="38">
      <c r="A38" s="9" t="inlineStr">
        <is>
          <t>Reference price ($ per sh.)</t>
        </is>
      </c>
      <c r="D38" s="35">
        <f>Assumptions!$B$10</f>
        <v/>
      </c>
    </row>
    <row r="39">
      <c r="A39" s="9" t="inlineStr">
        <is>
          <t>Premium / (discount) to reference</t>
        </is>
      </c>
      <c r="D39" s="16">
        <f>D37/D38-1</f>
        <v/>
      </c>
    </row>
    <row r="40">
      <c r="A40" s="9" t="inlineStr">
        <is>
          <t>Terminal share of total PV</t>
        </is>
      </c>
      <c r="D40" s="16">
        <f>D32/D33</f>
        <v/>
      </c>
    </row>
    <row r="42">
      <c r="A42" s="3" t="inlineStr">
        <is>
          <t>CHECKS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9" t="inlineStr">
        <is>
          <t>Check 1: sum of PV(FCFF) minus NPV(Kw, Y1-Y5) = 0</t>
        </is>
      </c>
      <c r="D43" s="36">
        <f>D31-NPV(WACC!$B$15,D16:H16)</f>
        <v/>
      </c>
    </row>
    <row r="44">
      <c r="A44" s="9" t="inlineStr">
        <is>
          <t>Check 2: valuation bridge foots to zero</t>
        </is>
      </c>
      <c r="D44" s="36">
        <f>D33+D34-D35</f>
        <v/>
      </c>
    </row>
    <row r="45">
      <c r="A45" s="9" t="inlineStr">
        <is>
          <t>Check 3: spread of Kw over g (must be &gt; 0)</t>
        </is>
      </c>
      <c r="D45" s="26">
        <f>WACC!$B$15-D23</f>
        <v/>
      </c>
    </row>
    <row r="46">
      <c r="A46" s="5" t="inlineStr">
        <is>
          <t>Check status</t>
        </is>
      </c>
      <c r="D46" s="37">
        <f>IF(AND(ABS(D43)&lt;0.000001,ABS(D44)&lt;0.000001,D45&gt;0),"OK","REVIEW")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Sensitivity Analysis — discount rate (rows) × terminal growth (columns)</t>
        </is>
      </c>
    </row>
    <row r="2">
      <c r="A2" s="2" t="inlineStr">
        <is>
          <t>Each cell re-derives the full DCF: NPV of Years 1-5 FCFF plus Gordon terminal amount — all live formulas.</t>
        </is>
      </c>
    </row>
    <row r="3">
      <c r="A3" s="5" t="inlineStr">
        <is>
          <t>Enterprise value ($m) — sensitivity; base case →</t>
        </is>
      </c>
      <c r="B3" s="7">
        <f>DCF!$D$33</f>
        <v/>
      </c>
    </row>
    <row r="5">
      <c r="B5" s="18" t="inlineStr">
        <is>
          <t>Kw \ g</t>
        </is>
      </c>
      <c r="C5" s="38">
        <f>DCF!$D$23-0.01</f>
        <v/>
      </c>
      <c r="D5" s="38">
        <f>DCF!$D$23-0.005</f>
        <v/>
      </c>
      <c r="E5" s="38">
        <f>DCF!$D$23</f>
        <v/>
      </c>
      <c r="F5" s="38">
        <f>DCF!$D$23+0.005</f>
        <v/>
      </c>
      <c r="G5" s="38">
        <f>DCF!$D$23+0.01</f>
        <v/>
      </c>
    </row>
    <row r="6">
      <c r="B6" s="39">
        <f>WACC!$B$15-0.01</f>
        <v/>
      </c>
      <c r="C6" s="28">
        <f>NPV($B6,DCF!$D$16:$H$16)+(DCF!$H$12+DCF!$H$15*(1+C$5))*(1+C$5)/($B6-C$5)/(1+$B6)^5</f>
        <v/>
      </c>
      <c r="D6" s="28">
        <f>NPV($B6,DCF!$D$16:$H$16)+(DCF!$H$12+DCF!$H$15*(1+D$5))*(1+D$5)/($B6-D$5)/(1+$B6)^5</f>
        <v/>
      </c>
      <c r="E6" s="28">
        <f>NPV($B6,DCF!$D$16:$H$16)+(DCF!$H$12+DCF!$H$15*(1+E$5))*(1+E$5)/($B6-E$5)/(1+$B6)^5</f>
        <v/>
      </c>
      <c r="F6" s="28">
        <f>NPV($B6,DCF!$D$16:$H$16)+(DCF!$H$12+DCF!$H$15*(1+F$5))*(1+F$5)/($B6-F$5)/(1+$B6)^5</f>
        <v/>
      </c>
      <c r="G6" s="28">
        <f>NPV($B6,DCF!$D$16:$H$16)+(DCF!$H$12+DCF!$H$15*(1+G$5))*(1+G$5)/($B6-G$5)/(1+$B6)^5</f>
        <v/>
      </c>
    </row>
    <row r="7">
      <c r="B7" s="39">
        <f>WACC!$B$15-0.005</f>
        <v/>
      </c>
      <c r="C7" s="28">
        <f>NPV($B7,DCF!$D$16:$H$16)+(DCF!$H$12+DCF!$H$15*(1+C$5))*(1+C$5)/($B7-C$5)/(1+$B7)^5</f>
        <v/>
      </c>
      <c r="D7" s="28">
        <f>NPV($B7,DCF!$D$16:$H$16)+(DCF!$H$12+DCF!$H$15*(1+D$5))*(1+D$5)/($B7-D$5)/(1+$B7)^5</f>
        <v/>
      </c>
      <c r="E7" s="28">
        <f>NPV($B7,DCF!$D$16:$H$16)+(DCF!$H$12+DCF!$H$15*(1+E$5))*(1+E$5)/($B7-E$5)/(1+$B7)^5</f>
        <v/>
      </c>
      <c r="F7" s="28">
        <f>NPV($B7,DCF!$D$16:$H$16)+(DCF!$H$12+DCF!$H$15*(1+F$5))*(1+F$5)/($B7-F$5)/(1+$B7)^5</f>
        <v/>
      </c>
      <c r="G7" s="28">
        <f>NPV($B7,DCF!$D$16:$H$16)+(DCF!$H$12+DCF!$H$15*(1+G$5))*(1+G$5)/($B7-G$5)/(1+$B7)^5</f>
        <v/>
      </c>
    </row>
    <row r="8">
      <c r="B8" s="39">
        <f>WACC!$B$15</f>
        <v/>
      </c>
      <c r="C8" s="28">
        <f>NPV($B8,DCF!$D$16:$H$16)+(DCF!$H$12+DCF!$H$15*(1+C$5))*(1+C$5)/($B8-C$5)/(1+$B8)^5</f>
        <v/>
      </c>
      <c r="D8" s="28">
        <f>NPV($B8,DCF!$D$16:$H$16)+(DCF!$H$12+DCF!$H$15*(1+D$5))*(1+D$5)/($B8-D$5)/(1+$B8)^5</f>
        <v/>
      </c>
      <c r="E8" s="40">
        <f>NPV($B8,DCF!$D$16:$H$16)+(DCF!$H$12+DCF!$H$15*(1+E$5))*(1+E$5)/($B8-E$5)/(1+$B8)^5</f>
        <v/>
      </c>
      <c r="F8" s="28">
        <f>NPV($B8,DCF!$D$16:$H$16)+(DCF!$H$12+DCF!$H$15*(1+F$5))*(1+F$5)/($B8-F$5)/(1+$B8)^5</f>
        <v/>
      </c>
      <c r="G8" s="28">
        <f>NPV($B8,DCF!$D$16:$H$16)+(DCF!$H$12+DCF!$H$15*(1+G$5))*(1+G$5)/($B8-G$5)/(1+$B8)^5</f>
        <v/>
      </c>
    </row>
    <row r="9">
      <c r="B9" s="39">
        <f>WACC!$B$15+0.005</f>
        <v/>
      </c>
      <c r="C9" s="28">
        <f>NPV($B9,DCF!$D$16:$H$16)+(DCF!$H$12+DCF!$H$15*(1+C$5))*(1+C$5)/($B9-C$5)/(1+$B9)^5</f>
        <v/>
      </c>
      <c r="D9" s="28">
        <f>NPV($B9,DCF!$D$16:$H$16)+(DCF!$H$12+DCF!$H$15*(1+D$5))*(1+D$5)/($B9-D$5)/(1+$B9)^5</f>
        <v/>
      </c>
      <c r="E9" s="28">
        <f>NPV($B9,DCF!$D$16:$H$16)+(DCF!$H$12+DCF!$H$15*(1+E$5))*(1+E$5)/($B9-E$5)/(1+$B9)^5</f>
        <v/>
      </c>
      <c r="F9" s="28">
        <f>NPV($B9,DCF!$D$16:$H$16)+(DCF!$H$12+DCF!$H$15*(1+F$5))*(1+F$5)/($B9-F$5)/(1+$B9)^5</f>
        <v/>
      </c>
      <c r="G9" s="28">
        <f>NPV($B9,DCF!$D$16:$H$16)+(DCF!$H$12+DCF!$H$15*(1+G$5))*(1+G$5)/($B9-G$5)/(1+$B9)^5</f>
        <v/>
      </c>
    </row>
    <row r="10">
      <c r="B10" s="39">
        <f>WACC!$B$15+0.01</f>
        <v/>
      </c>
      <c r="C10" s="28">
        <f>NPV($B10,DCF!$D$16:$H$16)+(DCF!$H$12+DCF!$H$15*(1+C$5))*(1+C$5)/($B10-C$5)/(1+$B10)^5</f>
        <v/>
      </c>
      <c r="D10" s="28">
        <f>NPV($B10,DCF!$D$16:$H$16)+(DCF!$H$12+DCF!$H$15*(1+D$5))*(1+D$5)/($B10-D$5)/(1+$B10)^5</f>
        <v/>
      </c>
      <c r="E10" s="28">
        <f>NPV($B10,DCF!$D$16:$H$16)+(DCF!$H$12+DCF!$H$15*(1+E$5))*(1+E$5)/($B10-E$5)/(1+$B10)^5</f>
        <v/>
      </c>
      <c r="F10" s="28">
        <f>NPV($B10,DCF!$D$16:$H$16)+(DCF!$H$12+DCF!$H$15*(1+F$5))*(1+F$5)/($B10-F$5)/(1+$B10)^5</f>
        <v/>
      </c>
      <c r="G10" s="28">
        <f>NPV($B10,DCF!$D$16:$H$16)+(DCF!$H$12+DCF!$H$15*(1+G$5))*(1+G$5)/($B10-G$5)/(1+$B10)^5</f>
        <v/>
      </c>
    </row>
    <row r="12">
      <c r="A12" s="9" t="inlineStr">
        <is>
          <t>Check: grid center equals base case (difference)</t>
        </is>
      </c>
      <c r="C12" s="36">
        <f>E8-DCF!$D$33</f>
        <v/>
      </c>
    </row>
    <row r="14">
      <c r="A14" s="5" t="inlineStr">
        <is>
          <t>Implied price per share ($) — sensitivity; base case →</t>
        </is>
      </c>
      <c r="B14" s="8">
        <f>DCF!$D$37</f>
        <v/>
      </c>
    </row>
    <row r="16">
      <c r="B16" s="18" t="inlineStr">
        <is>
          <t>Kw \ g</t>
        </is>
      </c>
      <c r="C16" s="38">
        <f>C5</f>
        <v/>
      </c>
      <c r="D16" s="38">
        <f>D5</f>
        <v/>
      </c>
      <c r="E16" s="38">
        <f>E5</f>
        <v/>
      </c>
      <c r="F16" s="38">
        <f>F5</f>
        <v/>
      </c>
      <c r="G16" s="38">
        <f>G5</f>
        <v/>
      </c>
    </row>
    <row r="17">
      <c r="B17" s="39">
        <f>B6</f>
        <v/>
      </c>
      <c r="C17" s="41">
        <f>(C6-Assumptions!$B$8)/Assumptions!$B$9</f>
        <v/>
      </c>
      <c r="D17" s="41">
        <f>(D6-Assumptions!$B$8)/Assumptions!$B$9</f>
        <v/>
      </c>
      <c r="E17" s="41">
        <f>(E6-Assumptions!$B$8)/Assumptions!$B$9</f>
        <v/>
      </c>
      <c r="F17" s="41">
        <f>(F6-Assumptions!$B$8)/Assumptions!$B$9</f>
        <v/>
      </c>
      <c r="G17" s="41">
        <f>(G6-Assumptions!$B$8)/Assumptions!$B$9</f>
        <v/>
      </c>
    </row>
    <row r="18">
      <c r="B18" s="39">
        <f>B7</f>
        <v/>
      </c>
      <c r="C18" s="41">
        <f>(C7-Assumptions!$B$8)/Assumptions!$B$9</f>
        <v/>
      </c>
      <c r="D18" s="41">
        <f>(D7-Assumptions!$B$8)/Assumptions!$B$9</f>
        <v/>
      </c>
      <c r="E18" s="41">
        <f>(E7-Assumptions!$B$8)/Assumptions!$B$9</f>
        <v/>
      </c>
      <c r="F18" s="41">
        <f>(F7-Assumptions!$B$8)/Assumptions!$B$9</f>
        <v/>
      </c>
      <c r="G18" s="41">
        <f>(G7-Assumptions!$B$8)/Assumptions!$B$9</f>
        <v/>
      </c>
    </row>
    <row r="19">
      <c r="B19" s="39">
        <f>B8</f>
        <v/>
      </c>
      <c r="C19" s="41">
        <f>(C8-Assumptions!$B$8)/Assumptions!$B$9</f>
        <v/>
      </c>
      <c r="D19" s="41">
        <f>(D8-Assumptions!$B$8)/Assumptions!$B$9</f>
        <v/>
      </c>
      <c r="E19" s="42">
        <f>(E8-Assumptions!$B$8)/Assumptions!$B$9</f>
        <v/>
      </c>
      <c r="F19" s="41">
        <f>(F8-Assumptions!$B$8)/Assumptions!$B$9</f>
        <v/>
      </c>
      <c r="G19" s="41">
        <f>(G8-Assumptions!$B$8)/Assumptions!$B$9</f>
        <v/>
      </c>
    </row>
    <row r="20">
      <c r="B20" s="39">
        <f>B9</f>
        <v/>
      </c>
      <c r="C20" s="41">
        <f>(C9-Assumptions!$B$8)/Assumptions!$B$9</f>
        <v/>
      </c>
      <c r="D20" s="41">
        <f>(D9-Assumptions!$B$8)/Assumptions!$B$9</f>
        <v/>
      </c>
      <c r="E20" s="41">
        <f>(E9-Assumptions!$B$8)/Assumptions!$B$9</f>
        <v/>
      </c>
      <c r="F20" s="41">
        <f>(F9-Assumptions!$B$8)/Assumptions!$B$9</f>
        <v/>
      </c>
      <c r="G20" s="41">
        <f>(G9-Assumptions!$B$8)/Assumptions!$B$9</f>
        <v/>
      </c>
    </row>
    <row r="21">
      <c r="B21" s="39">
        <f>B10</f>
        <v/>
      </c>
      <c r="C21" s="41">
        <f>(C10-Assumptions!$B$8)/Assumptions!$B$9</f>
        <v/>
      </c>
      <c r="D21" s="41">
        <f>(D10-Assumptions!$B$8)/Assumptions!$B$9</f>
        <v/>
      </c>
      <c r="E21" s="41">
        <f>(E10-Assumptions!$B$8)/Assumptions!$B$9</f>
        <v/>
      </c>
      <c r="F21" s="41">
        <f>(F10-Assumptions!$B$8)/Assumptions!$B$9</f>
        <v/>
      </c>
      <c r="G21" s="41">
        <f>(G10-Assumptions!$B$8)/Assumptions!$B$9</f>
        <v/>
      </c>
    </row>
    <row r="23">
      <c r="A23" s="9" t="inlineStr">
        <is>
          <t>Check: grid center equals base case (difference)</t>
        </is>
      </c>
      <c r="C23" s="36">
        <f>E19-DCF!$D$37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2026-06-12T15:24:32Z</dcterms:created>
  <dcterms:modified xmlns:dcterms="http://purl.org/dc/terms/" xmlns:xsi="http://www.w3.org/2001/XMLSchema-instance" xsi:type="dcterms:W3CDTF">2026-06-12T15:24:32Z</dcterms:modified>
</cp:coreProperties>
</file>