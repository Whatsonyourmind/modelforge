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Outputs" sheetId="3" state="visible" r:id="rId3"/>
  </sheets>
  <definedNames>
    <definedName name="_xlnm.Print_Area" localSheetId="0">'Assumptions'!$A$1:$J$36</definedName>
    <definedName name="_xlnm.Print_Area" localSheetId="1">'Model'!$A$1:$J$69</definedName>
    <definedName name="_xlnm.Print_Area" localSheetId="2">'Outputs'!$A$1:$D$11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"/>
    <numFmt numFmtId="165" formatCode="0.0%"/>
    <numFmt numFmtId="166" formatCode="0.000"/>
    <numFmt numFmtId="167" formatCode="#,##0.00;(#,##0.00)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color rgb="000563C1"/>
      <sz val="9"/>
      <u val="single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top style="double">
        <color rgb="00000000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" fontId="7" fillId="0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horizontal="right"/>
    </xf>
    <xf numFmtId="164" fontId="9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9" fillId="0" borderId="0" pivotButton="0" quotePrefix="0" xfId="0"/>
    <xf numFmtId="164" fontId="5" fillId="0" borderId="0" pivotButton="0" quotePrefix="0" xfId="0"/>
    <xf numFmtId="164" fontId="5" fillId="0" borderId="1" pivotButton="0" quotePrefix="0" xfId="0"/>
    <xf numFmtId="164" fontId="6" fillId="0" borderId="1" pivotButton="0" quotePrefix="0" xfId="0"/>
    <xf numFmtId="164" fontId="5" fillId="0" borderId="2" pivotButton="0" quotePrefix="0" xfId="0"/>
    <xf numFmtId="164" fontId="9" fillId="0" borderId="1" pivotButton="0" quotePrefix="0" xfId="0"/>
    <xf numFmtId="0" fontId="5" fillId="4" borderId="0" pivotButton="0" quotePrefix="0" xfId="0"/>
    <xf numFmtId="0" fontId="2" fillId="4" borderId="0" pivotButton="0" quotePrefix="0" xfId="0"/>
    <xf numFmtId="166" fontId="5" fillId="4" borderId="0" pivotButton="0" quotePrefix="0" xfId="0"/>
    <xf numFmtId="0" fontId="6" fillId="0" borderId="0" applyAlignment="1" pivotButton="0" quotePrefix="0" xfId="0">
      <alignment horizontal="right"/>
    </xf>
    <xf numFmtId="167" fontId="10" fillId="0" borderId="0" pivotButton="0" quotePrefix="0" xfId="0"/>
    <xf numFmtId="166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" customWidth="1" min="2" max="2"/>
    <col width="10.5" customWidth="1" min="3" max="3"/>
    <col width="10.5" customWidth="1" min="4" max="4"/>
    <col width="12" customWidth="1" min="5" max="5"/>
    <col width="28" customWidth="1" min="6" max="6"/>
    <col width="10.5" customWidth="1" min="7" max="7"/>
    <col width="10.5" customWidth="1" min="8" max="8"/>
    <col width="10.5" customWidth="1" min="9" max="9"/>
    <col width="10.5" customWidth="1" min="10" max="10"/>
  </cols>
  <sheetData>
    <row r="1">
      <c r="A1" s="1" t="inlineStr">
        <is>
          <t>Assumptions &amp; Sources — Deal Brief BM-3S-001 (MfgCo, synthetic benchmark)</t>
        </is>
      </c>
    </row>
    <row r="2">
      <c r="A2" s="2" t="inlineStr">
        <is>
          <t>Every hardcoded input in this workbook lives on this sheet (blue). Source for ALL values: benchmarks/briefs/three_statement_mfg.md (frozen synthetic benchmark inputs; fictional company; USD millions; 365-day year; 8 annual columns: t=0..2 historical, t=3..7 projection).</t>
        </is>
      </c>
    </row>
    <row r="3">
      <c r="A3" s="3" t="inlineStr">
        <is>
          <t>→ Model</t>
        </is>
      </c>
      <c r="B3" s="3" t="inlineStr">
        <is>
          <t>→ Outputs</t>
        </is>
      </c>
    </row>
    <row r="5">
      <c r="A5" s="4" t="inlineStr">
        <is>
          <t>HISTORICAL P&amp;L INPUTS ($m) — Brief §1</t>
        </is>
      </c>
      <c r="B5" s="5" t="n"/>
      <c r="C5" s="5" t="n"/>
      <c r="D5" s="5" t="n"/>
      <c r="E5" s="5" t="n"/>
      <c r="F5" s="5" t="n"/>
    </row>
    <row r="6">
      <c r="A6" s="6" t="inlineStr">
        <is>
          <t>Item</t>
        </is>
      </c>
      <c r="C6" s="7" t="inlineStr">
        <is>
          <t>t=0</t>
        </is>
      </c>
      <c r="D6" s="7" t="inlineStr">
        <is>
          <t>t=1</t>
        </is>
      </c>
      <c r="E6" s="7" t="inlineStr">
        <is>
          <t>t=2</t>
        </is>
      </c>
      <c r="F6" s="6" t="inlineStr">
        <is>
          <t>Source</t>
        </is>
      </c>
    </row>
    <row r="7">
      <c r="A7" s="8" t="inlineStr">
        <is>
          <t>Revenue (historical)</t>
        </is>
      </c>
      <c r="C7" s="9" t="n">
        <v>540</v>
      </c>
      <c r="D7" s="9" t="n">
        <v>570</v>
      </c>
      <c r="E7" s="9" t="n">
        <v>600</v>
      </c>
      <c r="F7" s="2" t="inlineStr">
        <is>
          <t>Brief §1 historicals table</t>
        </is>
      </c>
    </row>
    <row r="8">
      <c r="A8" s="8" t="inlineStr">
        <is>
          <t>EBITDA (historical)</t>
        </is>
      </c>
      <c r="C8" s="9" t="n">
        <v>70.2</v>
      </c>
      <c r="D8" s="9" t="n">
        <v>76.95</v>
      </c>
      <c r="E8" s="9" t="n">
        <v>84</v>
      </c>
      <c r="F8" s="2" t="inlineStr">
        <is>
          <t>Brief §1 historicals table</t>
        </is>
      </c>
    </row>
    <row r="10">
      <c r="A10" s="4" t="inlineStr">
        <is>
          <t>OPENING BALANCE SHEET (anchors t=0, $m) — Brief §2</t>
        </is>
      </c>
      <c r="B10" s="5" t="n"/>
      <c r="C10" s="5" t="n"/>
      <c r="D10" s="5" t="n"/>
      <c r="E10" s="5" t="n"/>
      <c r="F10" s="5" t="n"/>
    </row>
    <row r="11">
      <c r="A11" s="8" t="inlineStr">
        <is>
          <t>Cash</t>
        </is>
      </c>
      <c r="C11" s="9" t="n">
        <v>40</v>
      </c>
      <c r="F11" s="2" t="inlineStr">
        <is>
          <t>Brief §2 opening balance sheet</t>
        </is>
      </c>
    </row>
    <row r="12">
      <c r="A12" s="8" t="inlineStr">
        <is>
          <t>Accounts receivable</t>
        </is>
      </c>
      <c r="C12" s="9" t="n">
        <v>90</v>
      </c>
      <c r="F12" s="2" t="inlineStr">
        <is>
          <t>Brief §2 opening balance sheet</t>
        </is>
      </c>
    </row>
    <row r="13">
      <c r="A13" s="8" t="inlineStr">
        <is>
          <t>Inventory</t>
        </is>
      </c>
      <c r="C13" s="9" t="n">
        <v>75</v>
      </c>
      <c r="F13" s="2" t="inlineStr">
        <is>
          <t>Brief §2 opening balance sheet</t>
        </is>
      </c>
    </row>
    <row r="14">
      <c r="A14" s="8" t="inlineStr">
        <is>
          <t>Net PP&amp;E</t>
        </is>
      </c>
      <c r="C14" s="9" t="n">
        <v>250</v>
      </c>
      <c r="F14" s="2" t="inlineStr">
        <is>
          <t>Brief §2 opening balance sheet</t>
        </is>
      </c>
    </row>
    <row r="15">
      <c r="A15" s="8" t="inlineStr">
        <is>
          <t>Accounts payable</t>
        </is>
      </c>
      <c r="C15" s="9" t="n">
        <v>55</v>
      </c>
      <c r="F15" s="2" t="inlineStr">
        <is>
          <t>Brief §2 opening balance sheet</t>
        </is>
      </c>
    </row>
    <row r="16">
      <c r="A16" s="8" t="inlineStr">
        <is>
          <t>Debt</t>
        </is>
      </c>
      <c r="C16" s="9" t="n">
        <v>180</v>
      </c>
      <c r="F16" s="2" t="inlineStr">
        <is>
          <t>Brief §2 opening balance sheet</t>
        </is>
      </c>
    </row>
    <row r="17">
      <c r="A17" s="8" t="inlineStr">
        <is>
          <t>Equity</t>
        </is>
      </c>
      <c r="C17" s="9" t="n">
        <v>220</v>
      </c>
      <c r="F17" s="2" t="inlineStr">
        <is>
          <t>Brief §2 opening balance sheet</t>
        </is>
      </c>
    </row>
    <row r="19">
      <c r="A19" s="4" t="inlineStr">
        <is>
          <t>PROJECTION DRIVERS (t=3..7) — Brief §3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F20" s="7" t="inlineStr">
        <is>
          <t>t=3</t>
        </is>
      </c>
      <c r="G20" s="7" t="inlineStr">
        <is>
          <t>t=4</t>
        </is>
      </c>
      <c r="H20" s="7" t="inlineStr">
        <is>
          <t>t=5</t>
        </is>
      </c>
      <c r="I20" s="7" t="inlineStr">
        <is>
          <t>t=6</t>
        </is>
      </c>
      <c r="J20" s="7" t="inlineStr">
        <is>
          <t>t=7</t>
        </is>
      </c>
    </row>
    <row r="21">
      <c r="A21" s="8" t="inlineStr">
        <is>
          <t>Revenue growth %</t>
        </is>
      </c>
      <c r="F21" s="10" t="n">
        <v>0.05</v>
      </c>
      <c r="G21" s="10" t="n">
        <v>0.045</v>
      </c>
      <c r="H21" s="10" t="n">
        <v>0.04</v>
      </c>
      <c r="I21" s="10" t="n">
        <v>0.035</v>
      </c>
      <c r="J21" s="10" t="n">
        <v>0.03</v>
      </c>
    </row>
    <row r="22">
      <c r="A22" s="8" t="inlineStr">
        <is>
          <t>EBITDA margin %</t>
        </is>
      </c>
      <c r="F22" s="10" t="n">
        <v>0.14</v>
      </c>
      <c r="G22" s="10" t="n">
        <v>0.145</v>
      </c>
      <c r="H22" s="10" t="n">
        <v>0.15</v>
      </c>
      <c r="I22" s="10" t="n">
        <v>0.15</v>
      </c>
      <c r="J22" s="10" t="n">
        <v>0.15</v>
      </c>
    </row>
    <row r="24">
      <c r="A24" s="4" t="inlineStr">
        <is>
          <t>CONSTANT DRIVERS (apply to all columns t=0..7 unless stated) — Brief §3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inlineStr">
        <is>
          <t>D&amp;A (% of revenue)</t>
        </is>
      </c>
      <c r="C25" s="10" t="n">
        <v>0.055</v>
      </c>
      <c r="E25" s="2" t="inlineStr">
        <is>
          <t>all columns t=0..7</t>
        </is>
      </c>
    </row>
    <row r="26">
      <c r="A26" s="8" t="inlineStr">
        <is>
          <t>Interest rate on debt</t>
        </is>
      </c>
      <c r="C26" s="10" t="n">
        <v>0.06</v>
      </c>
      <c r="E26" s="2" t="inlineStr">
        <is>
          <t>charged on the OPENING debt balance of the year; t=0 uses the t=0 balance</t>
        </is>
      </c>
    </row>
    <row r="27">
      <c r="A27" s="8" t="inlineStr">
        <is>
          <t>Tax rate</t>
        </is>
      </c>
      <c r="C27" s="10" t="n">
        <v>0.25</v>
      </c>
      <c r="E27" s="2" t="inlineStr">
        <is>
          <t>on positive EBT only</t>
        </is>
      </c>
    </row>
    <row r="28">
      <c r="A28" s="8" t="inlineStr">
        <is>
          <t>Receivables days (DSO)</t>
        </is>
      </c>
      <c r="C28" s="11" t="n">
        <v>55</v>
      </c>
      <c r="E28" s="2" t="inlineStr">
        <is>
          <t>AR_t = revenue_t × 55/365, from t=1 onward</t>
        </is>
      </c>
    </row>
    <row r="29">
      <c r="A29" s="8" t="inlineStr">
        <is>
          <t>Inventory days</t>
        </is>
      </c>
      <c r="C29" s="11" t="n">
        <v>60</v>
      </c>
      <c r="E29" s="2" t="inlineStr">
        <is>
          <t>on REVENUE (stated simplification), from t=1 onward</t>
        </is>
      </c>
    </row>
    <row r="30">
      <c r="A30" s="8" t="inlineStr">
        <is>
          <t>Payables days</t>
        </is>
      </c>
      <c r="C30" s="11" t="n">
        <v>40</v>
      </c>
      <c r="E30" s="2" t="inlineStr">
        <is>
          <t>on REVENUE (stated simplification), from t=1 onward</t>
        </is>
      </c>
    </row>
    <row r="31">
      <c r="A31" s="8" t="inlineStr">
        <is>
          <t>Capex (% of revenue)</t>
        </is>
      </c>
      <c r="C31" s="10" t="n">
        <v>0.06</v>
      </c>
      <c r="E31" s="2" t="inlineStr">
        <is>
          <t>all columns t=0..7</t>
        </is>
      </c>
    </row>
    <row r="32">
      <c r="A32" s="8" t="inlineStr">
        <is>
          <t>Dividend payout</t>
        </is>
      </c>
      <c r="C32" s="10" t="n">
        <v>0.3</v>
      </c>
      <c r="E32" s="2" t="inlineStr">
        <is>
          <t>% of positive net income</t>
        </is>
      </c>
    </row>
    <row r="33">
      <c r="A33" s="8" t="inlineStr">
        <is>
          <t>Debt amortization per year ($m)</t>
        </is>
      </c>
      <c r="C33" s="9" t="n">
        <v>20</v>
      </c>
      <c r="E33" s="2" t="inlineStr">
        <is>
          <t>scheduled; floored at 0; financing outflow in the CFS</t>
        </is>
      </c>
    </row>
    <row r="34">
      <c r="A34" s="8" t="inlineStr">
        <is>
          <t>Days in year</t>
        </is>
      </c>
      <c r="C34" s="11" t="n">
        <v>365</v>
      </c>
      <c r="E34" s="2" t="inlineStr">
        <is>
          <t>365-day year convention</t>
        </is>
      </c>
    </row>
    <row r="36">
      <c r="A36" s="2" t="inlineStr">
        <is>
          <t>Held at zero per Brief §3: stock-based compensation, revolver, deferred taxes, NOLs, minority interest.</t>
        </is>
      </c>
    </row>
  </sheetData>
  <hyperlinks>
    <hyperlink ref="A3" location="'Model'!A1" tooltip="Go to Model"/>
    <hyperlink ref="B3" location="'Outputs'!A1" tooltip="Go to Outputs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">
      <c r="A1" s="1" t="inlineStr">
        <is>
          <t>MfgCo — Integrated 3-Statement Model (Deal Brief BM-3S-001, synthetic benchmark)</t>
        </is>
      </c>
    </row>
    <row r="2">
      <c r="A2" s="2" t="inlineStr">
        <is>
          <t>USD millions; 365-day year. Columns t=0..2 historical, t=3..7 projection. All inputs on the Assumptions sheet (green cells link there); every other cell is a live formula.</t>
        </is>
      </c>
    </row>
    <row r="3">
      <c r="A3" s="3" t="inlineStr">
        <is>
          <t>→ Assumptions</t>
        </is>
      </c>
      <c r="B3" s="3" t="inlineStr">
        <is>
          <t>→ Outputs</t>
        </is>
      </c>
    </row>
    <row r="4">
      <c r="A4" s="12" t="inlineStr">
        <is>
          <t>Line item ($m unless %)</t>
        </is>
      </c>
      <c r="B4" s="12" t="inlineStr">
        <is>
          <t>Driver / convention</t>
        </is>
      </c>
      <c r="C4" s="13" t="inlineStr">
        <is>
          <t>t=0 (Hist)</t>
        </is>
      </c>
      <c r="D4" s="13" t="inlineStr">
        <is>
          <t>t=1 (Hist)</t>
        </is>
      </c>
      <c r="E4" s="13" t="inlineStr">
        <is>
          <t>t=2 (Hist)</t>
        </is>
      </c>
      <c r="F4" s="13" t="inlineStr">
        <is>
          <t>t=3 (Proj)</t>
        </is>
      </c>
      <c r="G4" s="13" t="inlineStr">
        <is>
          <t>t=4 (Proj)</t>
        </is>
      </c>
      <c r="H4" s="13" t="inlineStr">
        <is>
          <t>t=5 (Proj)</t>
        </is>
      </c>
      <c r="I4" s="13" t="inlineStr">
        <is>
          <t>t=6 (Proj)</t>
        </is>
      </c>
      <c r="J4" s="13" t="inlineStr">
        <is>
          <t>t=7 (Proj)</t>
        </is>
      </c>
    </row>
    <row r="5">
      <c r="A5" s="4" t="inlineStr">
        <is>
          <t>INCOME STATEMENT (P&amp;L)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Revenue</t>
        </is>
      </c>
      <c r="B6" s="2" t="inlineStr">
        <is>
          <t>hist input; proj = prior × (1+growth)</t>
        </is>
      </c>
      <c r="C6" s="14">
        <f>Assumptions!C7</f>
        <v/>
      </c>
      <c r="D6" s="14">
        <f>Assumptions!D7</f>
        <v/>
      </c>
      <c r="E6" s="14">
        <f>Assumptions!E7</f>
        <v/>
      </c>
      <c r="F6" s="15">
        <f>E6*(1+F7)</f>
        <v/>
      </c>
      <c r="G6" s="15">
        <f>F6*(1+G7)</f>
        <v/>
      </c>
      <c r="H6" s="15">
        <f>G6*(1+H7)</f>
        <v/>
      </c>
      <c r="I6" s="15">
        <f>H6*(1+I7)</f>
        <v/>
      </c>
      <c r="J6" s="15">
        <f>I6*(1+J7)</f>
        <v/>
      </c>
    </row>
    <row r="7">
      <c r="A7" s="8" t="inlineStr">
        <is>
          <t>Revenue growth %</t>
        </is>
      </c>
      <c r="B7" s="2" t="inlineStr">
        <is>
          <t>hist = computed; proj = Assumptions §3</t>
        </is>
      </c>
      <c r="D7" s="16">
        <f>D6/C6-1</f>
        <v/>
      </c>
      <c r="E7" s="16">
        <f>E6/D6-1</f>
        <v/>
      </c>
      <c r="F7" s="17">
        <f>Assumptions!F21</f>
        <v/>
      </c>
      <c r="G7" s="17">
        <f>Assumptions!G21</f>
        <v/>
      </c>
      <c r="H7" s="17">
        <f>Assumptions!H21</f>
        <v/>
      </c>
      <c r="I7" s="17">
        <f>Assumptions!I21</f>
        <v/>
      </c>
      <c r="J7" s="17">
        <f>Assumptions!J21</f>
        <v/>
      </c>
    </row>
    <row r="8">
      <c r="A8" s="6" t="inlineStr">
        <is>
          <t>EBITDA</t>
        </is>
      </c>
      <c r="B8" s="2" t="inlineStr">
        <is>
          <t>hist input; proj = revenue × margin</t>
        </is>
      </c>
      <c r="C8" s="14">
        <f>Assumptions!C8</f>
        <v/>
      </c>
      <c r="D8" s="14">
        <f>Assumptions!D8</f>
        <v/>
      </c>
      <c r="E8" s="14">
        <f>Assumptions!E8</f>
        <v/>
      </c>
      <c r="F8" s="18">
        <f>F6*F9</f>
        <v/>
      </c>
      <c r="G8" s="18">
        <f>G6*G9</f>
        <v/>
      </c>
      <c r="H8" s="18">
        <f>H6*H9</f>
        <v/>
      </c>
      <c r="I8" s="18">
        <f>I6*I9</f>
        <v/>
      </c>
      <c r="J8" s="18">
        <f>J6*J9</f>
        <v/>
      </c>
    </row>
    <row r="9">
      <c r="A9" s="8" t="inlineStr">
        <is>
          <t>EBITDA margin %</t>
        </is>
      </c>
      <c r="B9" s="2" t="inlineStr">
        <is>
          <t>hist = computed; proj = Assumptions §3</t>
        </is>
      </c>
      <c r="C9" s="16">
        <f>C8/C6</f>
        <v/>
      </c>
      <c r="D9" s="16">
        <f>D8/D6</f>
        <v/>
      </c>
      <c r="E9" s="16">
        <f>E8/E6</f>
        <v/>
      </c>
      <c r="F9" s="17">
        <f>Assumptions!F22</f>
        <v/>
      </c>
      <c r="G9" s="17">
        <f>Assumptions!G22</f>
        <v/>
      </c>
      <c r="H9" s="17">
        <f>Assumptions!H22</f>
        <v/>
      </c>
      <c r="I9" s="17">
        <f>Assumptions!I22</f>
        <v/>
      </c>
      <c r="J9" s="17">
        <f>Assumptions!J22</f>
        <v/>
      </c>
    </row>
    <row r="10">
      <c r="A10" s="8" t="inlineStr">
        <is>
          <t>Less: D&amp;A</t>
        </is>
      </c>
      <c r="B10" s="2" t="inlineStr">
        <is>
          <t>5.5% of revenue</t>
        </is>
      </c>
      <c r="C10" s="15">
        <f>C6*Assumptions!$C$25</f>
        <v/>
      </c>
      <c r="D10" s="15">
        <f>D6*Assumptions!$C$25</f>
        <v/>
      </c>
      <c r="E10" s="15">
        <f>E6*Assumptions!$C$25</f>
        <v/>
      </c>
      <c r="F10" s="15">
        <f>F6*Assumptions!$C$25</f>
        <v/>
      </c>
      <c r="G10" s="15">
        <f>G6*Assumptions!$C$25</f>
        <v/>
      </c>
      <c r="H10" s="15">
        <f>H6*Assumptions!$C$25</f>
        <v/>
      </c>
      <c r="I10" s="15">
        <f>I6*Assumptions!$C$25</f>
        <v/>
      </c>
      <c r="J10" s="15">
        <f>J6*Assumptions!$C$25</f>
        <v/>
      </c>
    </row>
    <row r="11">
      <c r="A11" s="6" t="inlineStr">
        <is>
          <t>EBIT</t>
        </is>
      </c>
      <c r="B11" s="2" t="inlineStr">
        <is>
          <t>EBITDA − D&amp;A</t>
        </is>
      </c>
      <c r="C11" s="19">
        <f>C8-C10</f>
        <v/>
      </c>
      <c r="D11" s="19">
        <f>D8-D10</f>
        <v/>
      </c>
      <c r="E11" s="19">
        <f>E8-E10</f>
        <v/>
      </c>
      <c r="F11" s="19">
        <f>F8-F10</f>
        <v/>
      </c>
      <c r="G11" s="19">
        <f>G8-G10</f>
        <v/>
      </c>
      <c r="H11" s="19">
        <f>H8-H10</f>
        <v/>
      </c>
      <c r="I11" s="19">
        <f>I8-I10</f>
        <v/>
      </c>
      <c r="J11" s="19">
        <f>J8-J10</f>
        <v/>
      </c>
    </row>
    <row r="12">
      <c r="A12" s="8" t="inlineStr">
        <is>
          <t>Less: Interest expense</t>
        </is>
      </c>
      <c r="B12" s="2" t="inlineStr">
        <is>
          <t>6.0% × opening debt (from debt schedule)</t>
        </is>
      </c>
      <c r="C12" s="15">
        <f>C35</f>
        <v/>
      </c>
      <c r="D12" s="15">
        <f>D35</f>
        <v/>
      </c>
      <c r="E12" s="15">
        <f>E35</f>
        <v/>
      </c>
      <c r="F12" s="15">
        <f>F35</f>
        <v/>
      </c>
      <c r="G12" s="15">
        <f>G35</f>
        <v/>
      </c>
      <c r="H12" s="15">
        <f>H35</f>
        <v/>
      </c>
      <c r="I12" s="15">
        <f>I35</f>
        <v/>
      </c>
      <c r="J12" s="15">
        <f>J35</f>
        <v/>
      </c>
    </row>
    <row r="13">
      <c r="A13" s="8" t="inlineStr">
        <is>
          <t>EBT (pre-tax income)</t>
        </is>
      </c>
      <c r="B13" s="2" t="inlineStr">
        <is>
          <t>EBIT − interest</t>
        </is>
      </c>
      <c r="C13" s="20">
        <f>C11-C12</f>
        <v/>
      </c>
      <c r="D13" s="20">
        <f>D11-D12</f>
        <v/>
      </c>
      <c r="E13" s="20">
        <f>E11-E12</f>
        <v/>
      </c>
      <c r="F13" s="20">
        <f>F11-F12</f>
        <v/>
      </c>
      <c r="G13" s="20">
        <f>G11-G12</f>
        <v/>
      </c>
      <c r="H13" s="20">
        <f>H11-H12</f>
        <v/>
      </c>
      <c r="I13" s="20">
        <f>I11-I12</f>
        <v/>
      </c>
      <c r="J13" s="20">
        <f>J11-J12</f>
        <v/>
      </c>
    </row>
    <row r="14">
      <c r="A14" s="8" t="inlineStr">
        <is>
          <t>Less: Taxes</t>
        </is>
      </c>
      <c r="B14" s="2" t="inlineStr">
        <is>
          <t>25% of positive EBT only</t>
        </is>
      </c>
      <c r="C14" s="15">
        <f>MAX(C13,0)*Assumptions!$C$27</f>
        <v/>
      </c>
      <c r="D14" s="15">
        <f>MAX(D13,0)*Assumptions!$C$27</f>
        <v/>
      </c>
      <c r="E14" s="15">
        <f>MAX(E13,0)*Assumptions!$C$27</f>
        <v/>
      </c>
      <c r="F14" s="15">
        <f>MAX(F13,0)*Assumptions!$C$27</f>
        <v/>
      </c>
      <c r="G14" s="15">
        <f>MAX(G13,0)*Assumptions!$C$27</f>
        <v/>
      </c>
      <c r="H14" s="15">
        <f>MAX(H13,0)*Assumptions!$C$27</f>
        <v/>
      </c>
      <c r="I14" s="15">
        <f>MAX(I13,0)*Assumptions!$C$27</f>
        <v/>
      </c>
      <c r="J14" s="15">
        <f>MAX(J13,0)*Assumptions!$C$27</f>
        <v/>
      </c>
    </row>
    <row r="15">
      <c r="A15" s="6" t="inlineStr">
        <is>
          <t>Net income</t>
        </is>
      </c>
      <c r="B15" s="2" t="inlineStr">
        <is>
          <t>EBT − taxes</t>
        </is>
      </c>
      <c r="C15" s="21">
        <f>C13-C14</f>
        <v/>
      </c>
      <c r="D15" s="21">
        <f>D13-D14</f>
        <v/>
      </c>
      <c r="E15" s="21">
        <f>E13-E14</f>
        <v/>
      </c>
      <c r="F15" s="21">
        <f>F13-F14</f>
        <v/>
      </c>
      <c r="G15" s="21">
        <f>G13-G14</f>
        <v/>
      </c>
      <c r="H15" s="21">
        <f>H13-H14</f>
        <v/>
      </c>
      <c r="I15" s="21">
        <f>I13-I14</f>
        <v/>
      </c>
      <c r="J15" s="21">
        <f>J13-J14</f>
        <v/>
      </c>
    </row>
    <row r="16">
      <c r="A16" s="8" t="inlineStr">
        <is>
          <t>Net income margin %</t>
        </is>
      </c>
      <c r="B16" s="2" t="inlineStr">
        <is>
          <t>net income / revenue</t>
        </is>
      </c>
      <c r="C16" s="16">
        <f>C15/C6</f>
        <v/>
      </c>
      <c r="D16" s="16">
        <f>D15/D6</f>
        <v/>
      </c>
      <c r="E16" s="16">
        <f>E15/E6</f>
        <v/>
      </c>
      <c r="F16" s="16">
        <f>F15/F6</f>
        <v/>
      </c>
      <c r="G16" s="16">
        <f>G15/G6</f>
        <v/>
      </c>
      <c r="H16" s="16">
        <f>H15/H6</f>
        <v/>
      </c>
      <c r="I16" s="16">
        <f>I15/I6</f>
        <v/>
      </c>
      <c r="J16" s="16">
        <f>J15/J6</f>
        <v/>
      </c>
    </row>
    <row r="18">
      <c r="A18" s="4" t="inlineStr">
        <is>
          <t>WORKING CAPITAL SCHEDULE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inlineStr">
        <is>
          <t>Accounts receivable</t>
        </is>
      </c>
      <c r="B19" s="2" t="inlineStr">
        <is>
          <t>t=0 opening BS; then revenue × DSO/365 (DSO=55)</t>
        </is>
      </c>
      <c r="C19" s="14">
        <f>Assumptions!C12</f>
        <v/>
      </c>
      <c r="D19" s="15">
        <f>D6*Assumptions!$C$28/Assumptions!$C$34</f>
        <v/>
      </c>
      <c r="E19" s="15">
        <f>E6*Assumptions!$C$28/Assumptions!$C$34</f>
        <v/>
      </c>
      <c r="F19" s="15">
        <f>F6*Assumptions!$C$28/Assumptions!$C$34</f>
        <v/>
      </c>
      <c r="G19" s="15">
        <f>G6*Assumptions!$C$28/Assumptions!$C$34</f>
        <v/>
      </c>
      <c r="H19" s="15">
        <f>H6*Assumptions!$C$28/Assumptions!$C$34</f>
        <v/>
      </c>
      <c r="I19" s="15">
        <f>I6*Assumptions!$C$28/Assumptions!$C$34</f>
        <v/>
      </c>
      <c r="J19" s="15">
        <f>J6*Assumptions!$C$28/Assumptions!$C$34</f>
        <v/>
      </c>
    </row>
    <row r="20">
      <c r="A20" s="8" t="inlineStr">
        <is>
          <t>Inventory</t>
        </is>
      </c>
      <c r="B20" s="2" t="inlineStr">
        <is>
          <t>t=0 opening BS; then revenue × 60/365 (on revenue)</t>
        </is>
      </c>
      <c r="C20" s="14">
        <f>Assumptions!C13</f>
        <v/>
      </c>
      <c r="D20" s="15">
        <f>D6*Assumptions!$C$29/Assumptions!$C$34</f>
        <v/>
      </c>
      <c r="E20" s="15">
        <f>E6*Assumptions!$C$29/Assumptions!$C$34</f>
        <v/>
      </c>
      <c r="F20" s="15">
        <f>F6*Assumptions!$C$29/Assumptions!$C$34</f>
        <v/>
      </c>
      <c r="G20" s="15">
        <f>G6*Assumptions!$C$29/Assumptions!$C$34</f>
        <v/>
      </c>
      <c r="H20" s="15">
        <f>H6*Assumptions!$C$29/Assumptions!$C$34</f>
        <v/>
      </c>
      <c r="I20" s="15">
        <f>I6*Assumptions!$C$29/Assumptions!$C$34</f>
        <v/>
      </c>
      <c r="J20" s="15">
        <f>J6*Assumptions!$C$29/Assumptions!$C$34</f>
        <v/>
      </c>
    </row>
    <row r="21">
      <c r="A21" s="8" t="inlineStr">
        <is>
          <t>Accounts payable</t>
        </is>
      </c>
      <c r="B21" s="2" t="inlineStr">
        <is>
          <t>t=0 opening BS; then revenue × 40/365 (on revenue)</t>
        </is>
      </c>
      <c r="C21" s="14">
        <f>Assumptions!C15</f>
        <v/>
      </c>
      <c r="D21" s="15">
        <f>D6*Assumptions!$C$30/Assumptions!$C$34</f>
        <v/>
      </c>
      <c r="E21" s="15">
        <f>E6*Assumptions!$C$30/Assumptions!$C$34</f>
        <v/>
      </c>
      <c r="F21" s="15">
        <f>F6*Assumptions!$C$30/Assumptions!$C$34</f>
        <v/>
      </c>
      <c r="G21" s="15">
        <f>G6*Assumptions!$C$30/Assumptions!$C$34</f>
        <v/>
      </c>
      <c r="H21" s="15">
        <f>H6*Assumptions!$C$30/Assumptions!$C$34</f>
        <v/>
      </c>
      <c r="I21" s="15">
        <f>I6*Assumptions!$C$30/Assumptions!$C$34</f>
        <v/>
      </c>
      <c r="J21" s="15">
        <f>J6*Assumptions!$C$30/Assumptions!$C$34</f>
        <v/>
      </c>
    </row>
    <row r="22">
      <c r="A22" s="6" t="inlineStr">
        <is>
          <t>Net working capital (AR + Inv − AP)</t>
        </is>
      </c>
      <c r="C22" s="19">
        <f>C19+C20-C21</f>
        <v/>
      </c>
      <c r="D22" s="19">
        <f>D19+D20-D21</f>
        <v/>
      </c>
      <c r="E22" s="19">
        <f>E19+E20-E21</f>
        <v/>
      </c>
      <c r="F22" s="19">
        <f>F19+F20-F21</f>
        <v/>
      </c>
      <c r="G22" s="19">
        <f>G19+G20-G21</f>
        <v/>
      </c>
      <c r="H22" s="19">
        <f>H19+H20-H21</f>
        <v/>
      </c>
      <c r="I22" s="19">
        <f>I19+I20-I21</f>
        <v/>
      </c>
      <c r="J22" s="19">
        <f>J19+J20-J21</f>
        <v/>
      </c>
    </row>
    <row r="23">
      <c r="A23" s="8" t="inlineStr">
        <is>
          <t>Increase / (decrease) in NWC</t>
        </is>
      </c>
      <c r="B23" s="2" t="inlineStr">
        <is>
          <t>ΔNWC = ΔAR + ΔInv − ΔAP</t>
        </is>
      </c>
      <c r="D23" s="15">
        <f>D22-C22</f>
        <v/>
      </c>
      <c r="E23" s="15">
        <f>E22-D22</f>
        <v/>
      </c>
      <c r="F23" s="15">
        <f>F22-E22</f>
        <v/>
      </c>
      <c r="G23" s="15">
        <f>G22-F22</f>
        <v/>
      </c>
      <c r="H23" s="15">
        <f>H22-G22</f>
        <v/>
      </c>
      <c r="I23" s="15">
        <f>I22-H22</f>
        <v/>
      </c>
      <c r="J23" s="15">
        <f>J22-I22</f>
        <v/>
      </c>
    </row>
    <row r="25">
      <c r="A25" s="4" t="inlineStr">
        <is>
          <t>PP&amp;E SCHEDULE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8" t="inlineStr">
        <is>
          <t>Opening net PP&amp;E</t>
        </is>
      </c>
      <c r="B26" s="2" t="inlineStr">
        <is>
          <t>prior-year closing</t>
        </is>
      </c>
      <c r="D26" s="15">
        <f>C29</f>
        <v/>
      </c>
      <c r="E26" s="15">
        <f>D29</f>
        <v/>
      </c>
      <c r="F26" s="15">
        <f>E29</f>
        <v/>
      </c>
      <c r="G26" s="15">
        <f>F29</f>
        <v/>
      </c>
      <c r="H26" s="15">
        <f>G29</f>
        <v/>
      </c>
      <c r="I26" s="15">
        <f>H29</f>
        <v/>
      </c>
      <c r="J26" s="15">
        <f>I29</f>
        <v/>
      </c>
    </row>
    <row r="27">
      <c r="A27" s="8" t="inlineStr">
        <is>
          <t>(+) Capex</t>
        </is>
      </c>
      <c r="B27" s="2" t="inlineStr">
        <is>
          <t>6.0% of revenue</t>
        </is>
      </c>
      <c r="C27" s="15">
        <f>C6*Assumptions!$C$31</f>
        <v/>
      </c>
      <c r="D27" s="15">
        <f>D6*Assumptions!$C$31</f>
        <v/>
      </c>
      <c r="E27" s="15">
        <f>E6*Assumptions!$C$31</f>
        <v/>
      </c>
      <c r="F27" s="15">
        <f>F6*Assumptions!$C$31</f>
        <v/>
      </c>
      <c r="G27" s="15">
        <f>G6*Assumptions!$C$31</f>
        <v/>
      </c>
      <c r="H27" s="15">
        <f>H6*Assumptions!$C$31</f>
        <v/>
      </c>
      <c r="I27" s="15">
        <f>I6*Assumptions!$C$31</f>
        <v/>
      </c>
      <c r="J27" s="15">
        <f>J6*Assumptions!$C$31</f>
        <v/>
      </c>
    </row>
    <row r="28">
      <c r="A28" s="8" t="inlineStr">
        <is>
          <t>(−) D&amp;A</t>
        </is>
      </c>
      <c r="B28" s="2" t="inlineStr">
        <is>
          <t>from P&amp;L</t>
        </is>
      </c>
      <c r="C28" s="15">
        <f>C10</f>
        <v/>
      </c>
      <c r="D28" s="15">
        <f>D10</f>
        <v/>
      </c>
      <c r="E28" s="15">
        <f>E10</f>
        <v/>
      </c>
      <c r="F28" s="15">
        <f>F10</f>
        <v/>
      </c>
      <c r="G28" s="15">
        <f>G10</f>
        <v/>
      </c>
      <c r="H28" s="15">
        <f>H10</f>
        <v/>
      </c>
      <c r="I28" s="15">
        <f>I10</f>
        <v/>
      </c>
      <c r="J28" s="15">
        <f>J10</f>
        <v/>
      </c>
    </row>
    <row r="29">
      <c r="A29" s="6" t="inlineStr">
        <is>
          <t>Closing net PP&amp;E</t>
        </is>
      </c>
      <c r="B29" s="2" t="inlineStr">
        <is>
          <t>t=0 opening BS; then open + capex − D&amp;A</t>
        </is>
      </c>
      <c r="C29" s="22">
        <f>Assumptions!C14</f>
        <v/>
      </c>
      <c r="D29" s="19">
        <f>D26+D27-D28</f>
        <v/>
      </c>
      <c r="E29" s="19">
        <f>E26+E27-E28</f>
        <v/>
      </c>
      <c r="F29" s="19">
        <f>F26+F27-F28</f>
        <v/>
      </c>
      <c r="G29" s="19">
        <f>G26+G27-G28</f>
        <v/>
      </c>
      <c r="H29" s="19">
        <f>H26+H27-H28</f>
        <v/>
      </c>
      <c r="I29" s="19">
        <f>I26+I27-I28</f>
        <v/>
      </c>
      <c r="J29" s="19">
        <f>J26+J27-J28</f>
        <v/>
      </c>
    </row>
    <row r="31">
      <c r="A31" s="4" t="inlineStr">
        <is>
          <t>DEBT SCHEDULE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8" t="inlineStr">
        <is>
          <t>Opening debt</t>
        </is>
      </c>
      <c r="B32" s="2" t="inlineStr">
        <is>
          <t>t=0 anchor; then prior-year closing</t>
        </is>
      </c>
      <c r="C32" s="14">
        <f>Assumptions!C16</f>
        <v/>
      </c>
      <c r="D32" s="15">
        <f>C34</f>
        <v/>
      </c>
      <c r="E32" s="15">
        <f>D34</f>
        <v/>
      </c>
      <c r="F32" s="15">
        <f>E34</f>
        <v/>
      </c>
      <c r="G32" s="15">
        <f>F34</f>
        <v/>
      </c>
      <c r="H32" s="15">
        <f>G34</f>
        <v/>
      </c>
      <c r="I32" s="15">
        <f>H34</f>
        <v/>
      </c>
      <c r="J32" s="15">
        <f>I34</f>
        <v/>
      </c>
    </row>
    <row r="33">
      <c r="A33" s="8" t="inlineStr">
        <is>
          <t>(−) Scheduled amortization</t>
        </is>
      </c>
      <c r="B33" s="2" t="inlineStr">
        <is>
          <t>20.0/yr, floored at 0 (=MIN(20, opening))</t>
        </is>
      </c>
      <c r="D33" s="15">
        <f>MIN(Assumptions!$C$33,D32)</f>
        <v/>
      </c>
      <c r="E33" s="15">
        <f>MIN(Assumptions!$C$33,E32)</f>
        <v/>
      </c>
      <c r="F33" s="15">
        <f>MIN(Assumptions!$C$33,F32)</f>
        <v/>
      </c>
      <c r="G33" s="15">
        <f>MIN(Assumptions!$C$33,G32)</f>
        <v/>
      </c>
      <c r="H33" s="15">
        <f>MIN(Assumptions!$C$33,H32)</f>
        <v/>
      </c>
      <c r="I33" s="15">
        <f>MIN(Assumptions!$C$33,I32)</f>
        <v/>
      </c>
      <c r="J33" s="15">
        <f>MIN(Assumptions!$C$33,J32)</f>
        <v/>
      </c>
    </row>
    <row r="34">
      <c r="A34" s="6" t="inlineStr">
        <is>
          <t>Closing debt</t>
        </is>
      </c>
      <c r="B34" s="2" t="inlineStr">
        <is>
          <t>max(opening − 20, 0); t=0 = 180.0</t>
        </is>
      </c>
      <c r="C34" s="19">
        <f>C32</f>
        <v/>
      </c>
      <c r="D34" s="19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19">
        <f>H32-H33</f>
        <v/>
      </c>
      <c r="I34" s="19">
        <f>I32-I33</f>
        <v/>
      </c>
      <c r="J34" s="19">
        <f>J32-J33</f>
        <v/>
      </c>
    </row>
    <row r="35">
      <c r="A35" s="8" t="inlineStr">
        <is>
          <t>Interest expense</t>
        </is>
      </c>
      <c r="B35" s="2" t="inlineStr">
        <is>
          <t>6.0% × opening debt (t=0 uses t=0 balance)</t>
        </is>
      </c>
      <c r="C35" s="15">
        <f>C32*Assumptions!$C$26</f>
        <v/>
      </c>
      <c r="D35" s="15">
        <f>D32*Assumptions!$C$26</f>
        <v/>
      </c>
      <c r="E35" s="15">
        <f>E32*Assumptions!$C$26</f>
        <v/>
      </c>
      <c r="F35" s="15">
        <f>F32*Assumptions!$C$26</f>
        <v/>
      </c>
      <c r="G35" s="15">
        <f>G32*Assumptions!$C$26</f>
        <v/>
      </c>
      <c r="H35" s="15">
        <f>H32*Assumptions!$C$26</f>
        <v/>
      </c>
      <c r="I35" s="15">
        <f>I32*Assumptions!$C$26</f>
        <v/>
      </c>
      <c r="J35" s="15">
        <f>J32*Assumptions!$C$26</f>
        <v/>
      </c>
    </row>
    <row r="37">
      <c r="A37" s="4" t="inlineStr">
        <is>
          <t>EQUITY SCHEDULE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8" t="inlineStr">
        <is>
          <t>Opening equity</t>
        </is>
      </c>
      <c r="B38" s="2" t="inlineStr">
        <is>
          <t>prior-year closing</t>
        </is>
      </c>
      <c r="D38" s="15">
        <f>C41</f>
        <v/>
      </c>
      <c r="E38" s="15">
        <f>D41</f>
        <v/>
      </c>
      <c r="F38" s="15">
        <f>E41</f>
        <v/>
      </c>
      <c r="G38" s="15">
        <f>F41</f>
        <v/>
      </c>
      <c r="H38" s="15">
        <f>G41</f>
        <v/>
      </c>
      <c r="I38" s="15">
        <f>H41</f>
        <v/>
      </c>
      <c r="J38" s="15">
        <f>I41</f>
        <v/>
      </c>
    </row>
    <row r="39">
      <c r="A39" s="8" t="inlineStr">
        <is>
          <t>(+) Net income</t>
        </is>
      </c>
      <c r="B39" s="2" t="inlineStr">
        <is>
          <t>from P&amp;L</t>
        </is>
      </c>
      <c r="C39" s="15">
        <f>C15</f>
        <v/>
      </c>
      <c r="D39" s="15">
        <f>D15</f>
        <v/>
      </c>
      <c r="E39" s="15">
        <f>E15</f>
        <v/>
      </c>
      <c r="F39" s="15">
        <f>F15</f>
        <v/>
      </c>
      <c r="G39" s="15">
        <f>G15</f>
        <v/>
      </c>
      <c r="H39" s="15">
        <f>H15</f>
        <v/>
      </c>
      <c r="I39" s="15">
        <f>I15</f>
        <v/>
      </c>
      <c r="J39" s="15">
        <f>J15</f>
        <v/>
      </c>
    </row>
    <row r="40">
      <c r="A40" s="8" t="inlineStr">
        <is>
          <t>(−) Dividends</t>
        </is>
      </c>
      <c r="B40" s="2" t="inlineStr">
        <is>
          <t>30% of positive net income</t>
        </is>
      </c>
      <c r="C40" s="15">
        <f>MAX(C15,0)*Assumptions!$C$32</f>
        <v/>
      </c>
      <c r="D40" s="15">
        <f>MAX(D15,0)*Assumptions!$C$32</f>
        <v/>
      </c>
      <c r="E40" s="15">
        <f>MAX(E15,0)*Assumptions!$C$32</f>
        <v/>
      </c>
      <c r="F40" s="15">
        <f>MAX(F15,0)*Assumptions!$C$32</f>
        <v/>
      </c>
      <c r="G40" s="15">
        <f>MAX(G15,0)*Assumptions!$C$32</f>
        <v/>
      </c>
      <c r="H40" s="15">
        <f>MAX(H15,0)*Assumptions!$C$32</f>
        <v/>
      </c>
      <c r="I40" s="15">
        <f>MAX(I15,0)*Assumptions!$C$32</f>
        <v/>
      </c>
      <c r="J40" s="15">
        <f>MAX(J15,0)*Assumptions!$C$32</f>
        <v/>
      </c>
    </row>
    <row r="41">
      <c r="A41" s="6" t="inlineStr">
        <is>
          <t>Closing equity</t>
        </is>
      </c>
      <c r="B41" s="2" t="inlineStr">
        <is>
          <t>t=0 opening BS; then open + NI − dividends</t>
        </is>
      </c>
      <c r="C41" s="22">
        <f>Assumptions!C17</f>
        <v/>
      </c>
      <c r="D41" s="19">
        <f>D38+D39-D40</f>
        <v/>
      </c>
      <c r="E41" s="19">
        <f>E38+E39-E40</f>
        <v/>
      </c>
      <c r="F41" s="19">
        <f>F38+F39-F40</f>
        <v/>
      </c>
      <c r="G41" s="19">
        <f>G38+G39-G40</f>
        <v/>
      </c>
      <c r="H41" s="19">
        <f>H38+H39-H40</f>
        <v/>
      </c>
      <c r="I41" s="19">
        <f>I38+I39-I40</f>
        <v/>
      </c>
      <c r="J41" s="19">
        <f>J38+J39-J40</f>
        <v/>
      </c>
    </row>
    <row r="43">
      <c r="A43" s="4" t="inlineStr">
        <is>
          <t>CASH FLOW STATEMENT (indirect method; modeled from t=1)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8" t="inlineStr">
        <is>
          <t>Net income</t>
        </is>
      </c>
      <c r="B44" s="2" t="inlineStr">
        <is>
          <t>from P&amp;L</t>
        </is>
      </c>
      <c r="D44" s="15">
        <f>D15</f>
        <v/>
      </c>
      <c r="E44" s="15">
        <f>E15</f>
        <v/>
      </c>
      <c r="F44" s="15">
        <f>F15</f>
        <v/>
      </c>
      <c r="G44" s="15">
        <f>G15</f>
        <v/>
      </c>
      <c r="H44" s="15">
        <f>H15</f>
        <v/>
      </c>
      <c r="I44" s="15">
        <f>I15</f>
        <v/>
      </c>
      <c r="J44" s="15">
        <f>J15</f>
        <v/>
      </c>
    </row>
    <row r="45">
      <c r="A45" s="8" t="inlineStr">
        <is>
          <t>(+) D&amp;A</t>
        </is>
      </c>
      <c r="B45" s="2" t="inlineStr">
        <is>
          <t>non-cash add-back</t>
        </is>
      </c>
      <c r="D45" s="15">
        <f>D10</f>
        <v/>
      </c>
      <c r="E45" s="15">
        <f>E10</f>
        <v/>
      </c>
      <c r="F45" s="15">
        <f>F10</f>
        <v/>
      </c>
      <c r="G45" s="15">
        <f>G10</f>
        <v/>
      </c>
      <c r="H45" s="15">
        <f>H10</f>
        <v/>
      </c>
      <c r="I45" s="15">
        <f>I10</f>
        <v/>
      </c>
      <c r="J45" s="15">
        <f>J10</f>
        <v/>
      </c>
    </row>
    <row r="46">
      <c r="A46" s="8" t="inlineStr">
        <is>
          <t>(−) Increase in net working capital</t>
        </is>
      </c>
      <c r="B46" s="2" t="inlineStr">
        <is>
          <t>−ΔNWC</t>
        </is>
      </c>
      <c r="D46" s="15">
        <f>-D23</f>
        <v/>
      </c>
      <c r="E46" s="15">
        <f>-E23</f>
        <v/>
      </c>
      <c r="F46" s="15">
        <f>-F23</f>
        <v/>
      </c>
      <c r="G46" s="15">
        <f>-G23</f>
        <v/>
      </c>
      <c r="H46" s="15">
        <f>-H23</f>
        <v/>
      </c>
      <c r="I46" s="15">
        <f>-I23</f>
        <v/>
      </c>
      <c r="J46" s="15">
        <f>-J23</f>
        <v/>
      </c>
    </row>
    <row r="47">
      <c r="A47" s="6" t="inlineStr">
        <is>
          <t>Cash flow from operations (CFO)</t>
        </is>
      </c>
      <c r="B47" s="2" t="inlineStr">
        <is>
          <t>operating activities = NI + D&amp;A − ΔNWC</t>
        </is>
      </c>
      <c r="D47" s="19">
        <f>SUM(D44:D46)</f>
        <v/>
      </c>
      <c r="E47" s="19">
        <f>SUM(E44:E46)</f>
        <v/>
      </c>
      <c r="F47" s="19">
        <f>SUM(F44:F46)</f>
        <v/>
      </c>
      <c r="G47" s="19">
        <f>SUM(G44:G46)</f>
        <v/>
      </c>
      <c r="H47" s="19">
        <f>SUM(H44:H46)</f>
        <v/>
      </c>
      <c r="I47" s="19">
        <f>SUM(I44:I46)</f>
        <v/>
      </c>
      <c r="J47" s="19">
        <f>SUM(J44:J46)</f>
        <v/>
      </c>
    </row>
    <row r="48">
      <c r="A48" s="8" t="inlineStr">
        <is>
          <t>(−) Capex</t>
        </is>
      </c>
      <c r="B48" s="2" t="inlineStr">
        <is>
          <t>investing outflow</t>
        </is>
      </c>
      <c r="D48" s="15">
        <f>-D27</f>
        <v/>
      </c>
      <c r="E48" s="15">
        <f>-E27</f>
        <v/>
      </c>
      <c r="F48" s="15">
        <f>-F27</f>
        <v/>
      </c>
      <c r="G48" s="15">
        <f>-G27</f>
        <v/>
      </c>
      <c r="H48" s="15">
        <f>-H27</f>
        <v/>
      </c>
      <c r="I48" s="15">
        <f>-I27</f>
        <v/>
      </c>
      <c r="J48" s="15">
        <f>-J27</f>
        <v/>
      </c>
    </row>
    <row r="49">
      <c r="A49" s="6" t="inlineStr">
        <is>
          <t>Cash flow from investing (CFI)</t>
        </is>
      </c>
      <c r="B49" s="2" t="inlineStr">
        <is>
          <t>investing activities = −capex</t>
        </is>
      </c>
      <c r="D49" s="19">
        <f>D48</f>
        <v/>
      </c>
      <c r="E49" s="19">
        <f>E48</f>
        <v/>
      </c>
      <c r="F49" s="19">
        <f>F48</f>
        <v/>
      </c>
      <c r="G49" s="19">
        <f>G48</f>
        <v/>
      </c>
      <c r="H49" s="19">
        <f>H48</f>
        <v/>
      </c>
      <c r="I49" s="19">
        <f>I48</f>
        <v/>
      </c>
      <c r="J49" s="19">
        <f>J48</f>
        <v/>
      </c>
    </row>
    <row r="50">
      <c r="A50" s="8" t="inlineStr">
        <is>
          <t>(−) Dividends paid</t>
        </is>
      </c>
      <c r="B50" s="2" t="inlineStr">
        <is>
          <t>financing outflow</t>
        </is>
      </c>
      <c r="D50" s="15">
        <f>-D40</f>
        <v/>
      </c>
      <c r="E50" s="15">
        <f>-E40</f>
        <v/>
      </c>
      <c r="F50" s="15">
        <f>-F40</f>
        <v/>
      </c>
      <c r="G50" s="15">
        <f>-G40</f>
        <v/>
      </c>
      <c r="H50" s="15">
        <f>-H40</f>
        <v/>
      </c>
      <c r="I50" s="15">
        <f>-I40</f>
        <v/>
      </c>
      <c r="J50" s="15">
        <f>-J40</f>
        <v/>
      </c>
    </row>
    <row r="51">
      <c r="A51" s="8" t="inlineStr">
        <is>
          <t>(−) Debt repayment</t>
        </is>
      </c>
      <c r="B51" s="2" t="inlineStr">
        <is>
          <t>scheduled amortization, financing outflow</t>
        </is>
      </c>
      <c r="D51" s="15">
        <f>-D33</f>
        <v/>
      </c>
      <c r="E51" s="15">
        <f>-E33</f>
        <v/>
      </c>
      <c r="F51" s="15">
        <f>-F33</f>
        <v/>
      </c>
      <c r="G51" s="15">
        <f>-G33</f>
        <v/>
      </c>
      <c r="H51" s="15">
        <f>-H33</f>
        <v/>
      </c>
      <c r="I51" s="15">
        <f>-I33</f>
        <v/>
      </c>
      <c r="J51" s="15">
        <f>-J33</f>
        <v/>
      </c>
    </row>
    <row r="52">
      <c r="A52" s="6" t="inlineStr">
        <is>
          <t>Cash flow from financing (CFF)</t>
        </is>
      </c>
      <c r="B52" s="2" t="inlineStr">
        <is>
          <t>financing activities = −dividends − repayment</t>
        </is>
      </c>
      <c r="D52" s="19">
        <f>D50+D51</f>
        <v/>
      </c>
      <c r="E52" s="19">
        <f>E50+E51</f>
        <v/>
      </c>
      <c r="F52" s="19">
        <f>F50+F51</f>
        <v/>
      </c>
      <c r="G52" s="19">
        <f>G50+G51</f>
        <v/>
      </c>
      <c r="H52" s="19">
        <f>H50+H51</f>
        <v/>
      </c>
      <c r="I52" s="19">
        <f>I50+I51</f>
        <v/>
      </c>
      <c r="J52" s="19">
        <f>J50+J51</f>
        <v/>
      </c>
    </row>
    <row r="53">
      <c r="A53" s="6" t="inlineStr">
        <is>
          <t>Net change in cash</t>
        </is>
      </c>
      <c r="B53" s="2" t="inlineStr">
        <is>
          <t>CFO + CFI + CFF</t>
        </is>
      </c>
      <c r="D53" s="19">
        <f>D47+D49+D52</f>
        <v/>
      </c>
      <c r="E53" s="19">
        <f>E47+E49+E52</f>
        <v/>
      </c>
      <c r="F53" s="19">
        <f>F47+F49+F52</f>
        <v/>
      </c>
      <c r="G53" s="19">
        <f>G47+G49+G52</f>
        <v/>
      </c>
      <c r="H53" s="19">
        <f>H47+H49+H52</f>
        <v/>
      </c>
      <c r="I53" s="19">
        <f>I47+I49+I52</f>
        <v/>
      </c>
      <c r="J53" s="19">
        <f>J47+J49+J52</f>
        <v/>
      </c>
    </row>
    <row r="54">
      <c r="A54" s="8" t="inlineStr">
        <is>
          <t>Opening cash</t>
        </is>
      </c>
      <c r="B54" s="2" t="inlineStr">
        <is>
          <t>prior-year closing</t>
        </is>
      </c>
      <c r="D54" s="15">
        <f>C55</f>
        <v/>
      </c>
      <c r="E54" s="15">
        <f>D55</f>
        <v/>
      </c>
      <c r="F54" s="15">
        <f>E55</f>
        <v/>
      </c>
      <c r="G54" s="15">
        <f>F55</f>
        <v/>
      </c>
      <c r="H54" s="15">
        <f>G55</f>
        <v/>
      </c>
      <c r="I54" s="15">
        <f>H55</f>
        <v/>
      </c>
      <c r="J54" s="15">
        <f>I55</f>
        <v/>
      </c>
    </row>
    <row r="55">
      <c r="A55" s="6" t="inlineStr">
        <is>
          <t>Closing cash</t>
        </is>
      </c>
      <c r="B55" s="2" t="inlineStr">
        <is>
          <t>t=0 opening BS; then opening + net change</t>
        </is>
      </c>
      <c r="C55" s="22">
        <f>Assumptions!C11</f>
        <v/>
      </c>
      <c r="D55" s="19">
        <f>D54+D53</f>
        <v/>
      </c>
      <c r="E55" s="19">
        <f>E54+E53</f>
        <v/>
      </c>
      <c r="F55" s="19">
        <f>F54+F53</f>
        <v/>
      </c>
      <c r="G55" s="19">
        <f>G54+G53</f>
        <v/>
      </c>
      <c r="H55" s="19">
        <f>H54+H53</f>
        <v/>
      </c>
      <c r="I55" s="19">
        <f>I54+I53</f>
        <v/>
      </c>
      <c r="J55" s="19">
        <f>J54+J53</f>
        <v/>
      </c>
    </row>
    <row r="57">
      <c r="A57" s="4" t="inlineStr">
        <is>
          <t>BALANCE SHEET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8" t="inlineStr">
        <is>
          <t>Cash</t>
        </is>
      </c>
      <c r="B58" s="2" t="inlineStr">
        <is>
          <t>from cash flow statement</t>
        </is>
      </c>
      <c r="C58" s="15">
        <f>C55</f>
        <v/>
      </c>
      <c r="D58" s="15">
        <f>D55</f>
        <v/>
      </c>
      <c r="E58" s="15">
        <f>E55</f>
        <v/>
      </c>
      <c r="F58" s="15">
        <f>F55</f>
        <v/>
      </c>
      <c r="G58" s="15">
        <f>G55</f>
        <v/>
      </c>
      <c r="H58" s="15">
        <f>H55</f>
        <v/>
      </c>
      <c r="I58" s="15">
        <f>I55</f>
        <v/>
      </c>
      <c r="J58" s="15">
        <f>J55</f>
        <v/>
      </c>
    </row>
    <row r="59">
      <c r="A59" s="8" t="inlineStr">
        <is>
          <t>Accounts receivable</t>
        </is>
      </c>
      <c r="B59" s="2" t="inlineStr">
        <is>
          <t>from working capital schedule</t>
        </is>
      </c>
      <c r="C59" s="15">
        <f>C19</f>
        <v/>
      </c>
      <c r="D59" s="15">
        <f>D19</f>
        <v/>
      </c>
      <c r="E59" s="15">
        <f>E19</f>
        <v/>
      </c>
      <c r="F59" s="15">
        <f>F19</f>
        <v/>
      </c>
      <c r="G59" s="15">
        <f>G19</f>
        <v/>
      </c>
      <c r="H59" s="15">
        <f>H19</f>
        <v/>
      </c>
      <c r="I59" s="15">
        <f>I19</f>
        <v/>
      </c>
      <c r="J59" s="15">
        <f>J19</f>
        <v/>
      </c>
    </row>
    <row r="60">
      <c r="A60" s="8" t="inlineStr">
        <is>
          <t>Inventory</t>
        </is>
      </c>
      <c r="B60" s="2" t="inlineStr">
        <is>
          <t>from working capital schedule</t>
        </is>
      </c>
      <c r="C60" s="15">
        <f>C20</f>
        <v/>
      </c>
      <c r="D60" s="15">
        <f>D20</f>
        <v/>
      </c>
      <c r="E60" s="15">
        <f>E20</f>
        <v/>
      </c>
      <c r="F60" s="15">
        <f>F20</f>
        <v/>
      </c>
      <c r="G60" s="15">
        <f>G20</f>
        <v/>
      </c>
      <c r="H60" s="15">
        <f>H20</f>
        <v/>
      </c>
      <c r="I60" s="15">
        <f>I20</f>
        <v/>
      </c>
      <c r="J60" s="15">
        <f>J20</f>
        <v/>
      </c>
    </row>
    <row r="61">
      <c r="A61" s="8" t="inlineStr">
        <is>
          <t>Net PP&amp;E</t>
        </is>
      </c>
      <c r="B61" s="2" t="inlineStr">
        <is>
          <t>from PP&amp;E schedule</t>
        </is>
      </c>
      <c r="C61" s="15">
        <f>C29</f>
        <v/>
      </c>
      <c r="D61" s="15">
        <f>D29</f>
        <v/>
      </c>
      <c r="E61" s="15">
        <f>E29</f>
        <v/>
      </c>
      <c r="F61" s="15">
        <f>F29</f>
        <v/>
      </c>
      <c r="G61" s="15">
        <f>G29</f>
        <v/>
      </c>
      <c r="H61" s="15">
        <f>H29</f>
        <v/>
      </c>
      <c r="I61" s="15">
        <f>I29</f>
        <v/>
      </c>
      <c r="J61" s="15">
        <f>J29</f>
        <v/>
      </c>
    </row>
    <row r="62">
      <c r="A62" s="6" t="inlineStr">
        <is>
          <t>Total assets</t>
        </is>
      </c>
      <c r="C62" s="19">
        <f>SUM(C58:C61)</f>
        <v/>
      </c>
      <c r="D62" s="19">
        <f>SUM(D58:D61)</f>
        <v/>
      </c>
      <c r="E62" s="19">
        <f>SUM(E58:E61)</f>
        <v/>
      </c>
      <c r="F62" s="19">
        <f>SUM(F58:F61)</f>
        <v/>
      </c>
      <c r="G62" s="19">
        <f>SUM(G58:G61)</f>
        <v/>
      </c>
      <c r="H62" s="19">
        <f>SUM(H58:H61)</f>
        <v/>
      </c>
      <c r="I62" s="19">
        <f>SUM(I58:I61)</f>
        <v/>
      </c>
      <c r="J62" s="19">
        <f>SUM(J58:J61)</f>
        <v/>
      </c>
    </row>
    <row r="63">
      <c r="A63" s="8" t="inlineStr">
        <is>
          <t>Accounts payable</t>
        </is>
      </c>
      <c r="B63" s="2" t="inlineStr">
        <is>
          <t>from working capital schedule</t>
        </is>
      </c>
      <c r="C63" s="15">
        <f>C21</f>
        <v/>
      </c>
      <c r="D63" s="15">
        <f>D21</f>
        <v/>
      </c>
      <c r="E63" s="15">
        <f>E21</f>
        <v/>
      </c>
      <c r="F63" s="15">
        <f>F21</f>
        <v/>
      </c>
      <c r="G63" s="15">
        <f>G21</f>
        <v/>
      </c>
      <c r="H63" s="15">
        <f>H21</f>
        <v/>
      </c>
      <c r="I63" s="15">
        <f>I21</f>
        <v/>
      </c>
      <c r="J63" s="15">
        <f>J21</f>
        <v/>
      </c>
    </row>
    <row r="64">
      <c r="A64" s="8" t="inlineStr">
        <is>
          <t>Debt</t>
        </is>
      </c>
      <c r="B64" s="2" t="inlineStr">
        <is>
          <t>from debt schedule</t>
        </is>
      </c>
      <c r="C64" s="15">
        <f>C34</f>
        <v/>
      </c>
      <c r="D64" s="15">
        <f>D34</f>
        <v/>
      </c>
      <c r="E64" s="15">
        <f>E34</f>
        <v/>
      </c>
      <c r="F64" s="15">
        <f>F34</f>
        <v/>
      </c>
      <c r="G64" s="15">
        <f>G34</f>
        <v/>
      </c>
      <c r="H64" s="15">
        <f>H34</f>
        <v/>
      </c>
      <c r="I64" s="15">
        <f>I34</f>
        <v/>
      </c>
      <c r="J64" s="15">
        <f>J34</f>
        <v/>
      </c>
    </row>
    <row r="65">
      <c r="A65" s="6" t="inlineStr">
        <is>
          <t>Total liabilities</t>
        </is>
      </c>
      <c r="C65" s="19">
        <f>C63+C64</f>
        <v/>
      </c>
      <c r="D65" s="19">
        <f>D63+D64</f>
        <v/>
      </c>
      <c r="E65" s="19">
        <f>E63+E64</f>
        <v/>
      </c>
      <c r="F65" s="19">
        <f>F63+F64</f>
        <v/>
      </c>
      <c r="G65" s="19">
        <f>G63+G64</f>
        <v/>
      </c>
      <c r="H65" s="19">
        <f>H63+H64</f>
        <v/>
      </c>
      <c r="I65" s="19">
        <f>I63+I64</f>
        <v/>
      </c>
      <c r="J65" s="19">
        <f>J63+J64</f>
        <v/>
      </c>
    </row>
    <row r="66">
      <c r="A66" s="8" t="inlineStr">
        <is>
          <t>Equity</t>
        </is>
      </c>
      <c r="B66" s="2" t="inlineStr">
        <is>
          <t>from equity schedule</t>
        </is>
      </c>
      <c r="C66" s="15">
        <f>C41</f>
        <v/>
      </c>
      <c r="D66" s="15">
        <f>D41</f>
        <v/>
      </c>
      <c r="E66" s="15">
        <f>E41</f>
        <v/>
      </c>
      <c r="F66" s="15">
        <f>F41</f>
        <v/>
      </c>
      <c r="G66" s="15">
        <f>G41</f>
        <v/>
      </c>
      <c r="H66" s="15">
        <f>H41</f>
        <v/>
      </c>
      <c r="I66" s="15">
        <f>I41</f>
        <v/>
      </c>
      <c r="J66" s="15">
        <f>J41</f>
        <v/>
      </c>
    </row>
    <row r="67">
      <c r="A67" s="6" t="inlineStr">
        <is>
          <t>Total liabilities &amp; equity</t>
        </is>
      </c>
      <c r="C67" s="21">
        <f>C65+C66</f>
        <v/>
      </c>
      <c r="D67" s="21">
        <f>D65+D66</f>
        <v/>
      </c>
      <c r="E67" s="21">
        <f>E65+E66</f>
        <v/>
      </c>
      <c r="F67" s="21">
        <f>F65+F66</f>
        <v/>
      </c>
      <c r="G67" s="21">
        <f>G65+G66</f>
        <v/>
      </c>
      <c r="H67" s="21">
        <f>H65+H66</f>
        <v/>
      </c>
      <c r="I67" s="21">
        <f>I65+I66</f>
        <v/>
      </c>
      <c r="J67" s="21">
        <f>J65+J66</f>
        <v/>
      </c>
    </row>
    <row r="68">
      <c r="A68" s="23" t="inlineStr">
        <is>
          <t>Balance check: assets − (liabilities + equity)</t>
        </is>
      </c>
      <c r="B68" s="24" t="inlineStr">
        <is>
          <t>must be ~0 every year</t>
        </is>
      </c>
      <c r="C68" s="25">
        <f>C62-C67</f>
        <v/>
      </c>
      <c r="D68" s="25">
        <f>D62-D67</f>
        <v/>
      </c>
      <c r="E68" s="25">
        <f>E62-E67</f>
        <v/>
      </c>
      <c r="F68" s="25">
        <f>F62-F67</f>
        <v/>
      </c>
      <c r="G68" s="25">
        <f>G62-G67</f>
        <v/>
      </c>
      <c r="H68" s="25">
        <f>H62-H67</f>
        <v/>
      </c>
      <c r="I68" s="25">
        <f>I62-I67</f>
        <v/>
      </c>
      <c r="J68" s="25">
        <f>J62-J67</f>
        <v/>
      </c>
    </row>
    <row r="69">
      <c r="A69" s="8" t="inlineStr">
        <is>
          <t>Balance status</t>
        </is>
      </c>
      <c r="B69" s="2" t="inlineStr">
        <is>
          <t>OK if |check| ≤ 0.01</t>
        </is>
      </c>
      <c r="C69" s="26">
        <f>IF(ABS(C68)&lt;=0.01,"OK","ERROR")</f>
        <v/>
      </c>
      <c r="D69" s="26">
        <f>IF(ABS(D68)&lt;=0.01,"OK","ERROR")</f>
        <v/>
      </c>
      <c r="E69" s="26">
        <f>IF(ABS(E68)&lt;=0.01,"OK","ERROR")</f>
        <v/>
      </c>
      <c r="F69" s="26">
        <f>IF(ABS(F68)&lt;=0.01,"OK","ERROR")</f>
        <v/>
      </c>
      <c r="G69" s="26">
        <f>IF(ABS(G68)&lt;=0.01,"OK","ERROR")</f>
        <v/>
      </c>
      <c r="H69" s="26">
        <f>IF(ABS(H68)&lt;=0.01,"OK","ERROR")</f>
        <v/>
      </c>
      <c r="I69" s="26">
        <f>IF(ABS(I68)&lt;=0.01,"OK","ERROR")</f>
        <v/>
      </c>
      <c r="J69" s="26">
        <f>IF(ABS(J68)&lt;=0.01,"OK","ERROR")</f>
        <v/>
      </c>
    </row>
  </sheetData>
  <hyperlinks>
    <hyperlink ref="A3" location="'Assumptions'!A1" tooltip="Go to Assumptions"/>
    <hyperlink ref="B3" location="'Outputs'!A1" tooltip="Go to Outputs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14" customWidth="1" min="3" max="3"/>
    <col width="8" customWidth="1" min="4" max="4"/>
  </cols>
  <sheetData>
    <row r="1">
      <c r="A1" s="1" t="inlineStr">
        <is>
          <t>Headline Outputs — BM-3S-001 (final projection year, t=7)</t>
        </is>
      </c>
    </row>
    <row r="2">
      <c r="A2" s="2" t="inlineStr">
        <is>
          <t>All values are live formula links to the Model sheet. USD millions.</t>
        </is>
      </c>
    </row>
    <row r="3">
      <c r="A3" s="3" t="inlineStr">
        <is>
          <t>→ Assumptions</t>
        </is>
      </c>
      <c r="B3" s="3" t="inlineStr">
        <is>
          <t>→ Model</t>
        </is>
      </c>
    </row>
    <row r="5">
      <c r="A5" s="12" t="inlineStr">
        <is>
          <t>Headline key</t>
        </is>
      </c>
      <c r="B5" s="12" t="inlineStr">
        <is>
          <t>Description</t>
        </is>
      </c>
      <c r="C5" s="13" t="inlineStr">
        <is>
          <t>Value</t>
        </is>
      </c>
      <c r="D5" s="12" t="inlineStr">
        <is>
          <t>Units</t>
        </is>
      </c>
    </row>
    <row r="6">
      <c r="A6" s="6" t="inlineStr">
        <is>
          <t>final_net_income</t>
        </is>
      </c>
      <c r="B6" s="8" t="inlineStr">
        <is>
          <t>Net income, final year (t=7)</t>
        </is>
      </c>
      <c r="C6" s="27">
        <f>Model!J15</f>
        <v/>
      </c>
      <c r="D6" s="2" t="inlineStr">
        <is>
          <t>$m</t>
        </is>
      </c>
    </row>
    <row r="7">
      <c r="A7" s="6" t="inlineStr">
        <is>
          <t>final_total_assets</t>
        </is>
      </c>
      <c r="B7" s="8" t="inlineStr">
        <is>
          <t>Total assets, final year (t=7)</t>
        </is>
      </c>
      <c r="C7" s="27">
        <f>Model!J62</f>
        <v/>
      </c>
      <c r="D7" s="2" t="inlineStr">
        <is>
          <t>$m</t>
        </is>
      </c>
    </row>
    <row r="8">
      <c r="A8" s="6" t="inlineStr">
        <is>
          <t>final_total_liabilities_equity</t>
        </is>
      </c>
      <c r="B8" s="8" t="inlineStr">
        <is>
          <t>Total liabilities + equity, final year (t=7)</t>
        </is>
      </c>
      <c r="C8" s="27">
        <f>Model!J67</f>
        <v/>
      </c>
      <c r="D8" s="2" t="inlineStr">
        <is>
          <t>$m</t>
        </is>
      </c>
    </row>
    <row r="9">
      <c r="A9" s="6" t="inlineStr">
        <is>
          <t>final_balance_check</t>
        </is>
      </c>
      <c r="B9" s="8" t="inlineStr">
        <is>
          <t>Assets − (liabilities + equity), final year (must be ~0)</t>
        </is>
      </c>
      <c r="C9" s="28">
        <f>Model!J68</f>
        <v/>
      </c>
      <c r="D9" s="2" t="inlineStr">
        <is>
          <t>$m</t>
        </is>
      </c>
    </row>
    <row r="10">
      <c r="A10" s="6" t="inlineStr">
        <is>
          <t>final_cash</t>
        </is>
      </c>
      <c r="B10" s="8" t="inlineStr">
        <is>
          <t>Ending cash, final year (t=7)</t>
        </is>
      </c>
      <c r="C10" s="27">
        <f>Model!J58</f>
        <v/>
      </c>
      <c r="D10" s="2" t="inlineStr">
        <is>
          <t>$m</t>
        </is>
      </c>
    </row>
    <row r="11">
      <c r="A11" s="6" t="inlineStr">
        <is>
          <t>final_debt</t>
        </is>
      </c>
      <c r="B11" s="8" t="inlineStr">
        <is>
          <t>Ending debt, final year (t=7) (= 180 − 7×20)</t>
        </is>
      </c>
      <c r="C11" s="27">
        <f>Model!J64</f>
        <v/>
      </c>
      <c r="D11" s="2" t="inlineStr">
        <is>
          <t>$m</t>
        </is>
      </c>
    </row>
  </sheetData>
  <hyperlinks>
    <hyperlink ref="A3" location="'Assumptions'!A1" tooltip="Go to Assumptions"/>
    <hyperlink ref="B3" location="'Model'!A1" tooltip="Go to Model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Frontier agent (openpyxl, arm B style) — run2</dc:creator>
  <dc:title xmlns:dc="http://purl.org/dc/elements/1.1/">BM-3S-001 — MfgCo Integrated 3-Statement Model (synthetic benchmark)</dc:title>
  <dcterms:created xmlns:dcterms="http://purl.org/dc/terms/" xmlns:xsi="http://www.w3.org/2001/XMLSchema-instance" xsi:type="dcterms:W3CDTF">2026-06-12T15:20:43Z</dcterms:created>
  <dcterms:modified xmlns:dcterms="http://purl.org/dc/terms/" xmlns:xsi="http://www.w3.org/2001/XMLSchema-instance" xsi:type="dcterms:W3CDTF">2026-06-12T15:20:43Z</dcterms:modified>
</cp:coreProperties>
</file>