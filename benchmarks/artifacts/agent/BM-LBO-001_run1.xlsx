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Operating Model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y" sheetId="7" state="visible" r:id="rId7"/>
  </sheets>
  <definedNames>
    <definedName name="_xlnm.Print_Area" localSheetId="0">'Cover'!$A$1:$I$27</definedName>
    <definedName name="_xlnm.Print_Area" localSheetId="1">'Assumptions'!$A$1:$I$50</definedName>
    <definedName name="_xlnm.Print_Area" localSheetId="2">'Sources &amp; Uses'!$A$1:$I$27</definedName>
    <definedName name="_xlnm.Print_Area" localSheetId="3">'Operating Model'!$A$1:$I$29</definedName>
    <definedName name="_xlnm.Print_Area" localSheetId="4">'Debt Schedule'!$A$1:$I$29</definedName>
    <definedName name="_xlnm.Print_Area" localSheetId="5">'Returns'!$A$1:$I$27</definedName>
    <definedName name="_xlnm.Print_Area" localSheetId="6">'Sensitivity'!$A$1:$I$37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;(#,##0.0)"/>
    <numFmt numFmtId="165" formatCode="0.0&quot;x&quot;"/>
    <numFmt numFmtId="166" formatCode="0.00&quot;x&quot;"/>
    <numFmt numFmtId="167" formatCode="0.0%"/>
    <numFmt numFmtId="168" formatCode="&quot;$&quot;0.00"/>
    <numFmt numFmtId="169" formatCode="#,##0.00;(#,##0.00)"/>
    <numFmt numFmtId="170" formatCode="0.000000"/>
  </numFmts>
  <fonts count="12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i val="1"/>
      <color rgb="00000000"/>
      <sz val="10"/>
    </font>
    <font>
      <name val="Calibri"/>
      <i val="1"/>
      <color rgb="00808080"/>
      <sz val="9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color rgb="000563C1"/>
      <sz val="10"/>
    </font>
    <font>
      <name val="Calibri"/>
      <color rgb="000563C1"/>
      <sz val="10"/>
      <u val="single"/>
    </font>
    <font>
      <name val="Calibri"/>
      <color rgb="000000FF"/>
      <sz val="10"/>
    </font>
    <font>
      <name val="Calibri"/>
      <b val="1"/>
      <color rgb="00006100"/>
      <sz val="10"/>
    </font>
    <font>
      <name val="Calibri"/>
      <i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1" fillId="0" borderId="0" pivotButton="0" quotePrefix="0" xfId="0"/>
    <xf numFmtId="1" fontId="6" fillId="0" borderId="0" pivotButton="0" quotePrefix="0" xfId="0"/>
    <xf numFmtId="10" fontId="6" fillId="0" borderId="0" pivotButton="0" quotePrefix="0" xfId="0"/>
    <xf numFmtId="166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164" fontId="9" fillId="0" borderId="0" pivotButton="0" quotePrefix="0" xfId="0"/>
    <xf numFmtId="167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8" fontId="9" fillId="0" borderId="0" pivotButton="0" quotePrefix="0" xfId="0"/>
    <xf numFmtId="167" fontId="9" fillId="0" borderId="0" pivotButton="0" quotePrefix="0" xfId="0"/>
    <xf numFmtId="168" fontId="1" fillId="0" borderId="0" pivotButton="0" quotePrefix="0" xfId="0"/>
    <xf numFmtId="10" fontId="9" fillId="0" borderId="0" pivotButton="0" quotePrefix="0" xfId="0"/>
    <xf numFmtId="165" fontId="9" fillId="0" borderId="0" pivotButton="0" quotePrefix="0" xfId="0"/>
    <xf numFmtId="10" fontId="1" fillId="0" borderId="0" pivotButton="0" quotePrefix="0" xfId="0"/>
    <xf numFmtId="1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164" fontId="5" fillId="0" borderId="1" pivotButton="0" quotePrefix="0" xfId="0"/>
    <xf numFmtId="167" fontId="5" fillId="0" borderId="1" pivotButton="0" quotePrefix="0" xfId="0"/>
    <xf numFmtId="164" fontId="1" fillId="0" borderId="0" pivotButton="0" quotePrefix="0" xfId="0"/>
    <xf numFmtId="169" fontId="1" fillId="0" borderId="0" pivotButton="0" quotePrefix="0" xfId="0"/>
    <xf numFmtId="167" fontId="6" fillId="0" borderId="0" pivotButton="0" quotePrefix="0" xfId="0"/>
    <xf numFmtId="164" fontId="10" fillId="0" borderId="0" pivotButton="0" quotePrefix="0" xfId="0"/>
    <xf numFmtId="164" fontId="11" fillId="0" borderId="0" pivotButton="0" quotePrefix="0" xfId="0"/>
    <xf numFmtId="1" fontId="5" fillId="0" borderId="0" applyAlignment="1" pivotButton="0" quotePrefix="0" xfId="0">
      <alignment horizontal="center"/>
    </xf>
    <xf numFmtId="10" fontId="5" fillId="0" borderId="0" pivotButton="0" quotePrefix="0" xfId="0"/>
    <xf numFmtId="0" fontId="3" fillId="0" borderId="0" pivotButton="0" quotePrefix="0" xfId="0"/>
    <xf numFmtId="166" fontId="5" fillId="0" borderId="0" pivotButton="0" quotePrefix="0" xfId="0"/>
    <xf numFmtId="170" fontId="1" fillId="0" borderId="0" pivotButton="0" quotePrefix="0" xfId="0"/>
    <xf numFmtId="167" fontId="9" fillId="0" borderId="0" applyAlignment="1" pivotButton="0" quotePrefix="0" xfId="0">
      <alignment horizontal="center"/>
    </xf>
    <xf numFmtId="0" fontId="5" fillId="0" borderId="2" pivotButton="0" quotePrefix="0" xfId="0"/>
    <xf numFmtId="167" fontId="5" fillId="0" borderId="2" applyAlignment="1" pivotButton="0" quotePrefix="0" xfId="0">
      <alignment horizontal="center"/>
    </xf>
    <xf numFmtId="165" fontId="9" fillId="0" borderId="2" applyAlignment="1" pivotButton="0" quotePrefix="0" xfId="0">
      <alignment horizontal="center"/>
    </xf>
    <xf numFmtId="166" fontId="1" fillId="0" borderId="2" pivotButton="0" quotePrefix="0" xfId="0"/>
    <xf numFmtId="166" fontId="5" fillId="4" borderId="2" pivotButton="0" quotePrefix="0" xfId="0"/>
    <xf numFmtId="165" fontId="1" fillId="0" borderId="2" applyAlignment="1" pivotButton="0" quotePrefix="0" xfId="0">
      <alignment horizontal="center"/>
    </xf>
    <xf numFmtId="167" fontId="1" fillId="0" borderId="2" pivotButton="0" quotePrefix="0" xfId="0"/>
    <xf numFmtId="167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PROJECT SAASCO — SPONSOR LBO MODEL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BM-LBO-001 - synthetic benchmark deal - all figures fictional - USD millions unless stated - built 2026-06-12</t>
        </is>
      </c>
    </row>
    <row r="4">
      <c r="B4" s="4" t="inlineStr">
        <is>
          <t>TRANSACTION SNAPSHOT</t>
        </is>
      </c>
      <c r="C4" s="5" t="n"/>
      <c r="D4" s="5" t="n"/>
      <c r="E4" s="5" t="n"/>
      <c r="F4" s="5" t="n"/>
      <c r="G4" s="5" t="n"/>
      <c r="H4" s="5" t="n"/>
      <c r="I4" s="5" t="n"/>
    </row>
    <row r="5">
      <c r="B5" s="6" t="inlineStr">
        <is>
          <t>Entry enterprise value ($m)</t>
        </is>
      </c>
      <c r="C5" s="7">
        <f>Assumptions!$C$20</f>
        <v/>
      </c>
    </row>
    <row r="6">
      <c r="B6" s="6" t="inlineStr">
        <is>
          <t>Implied entry EV / LTM EBITDA</t>
        </is>
      </c>
      <c r="C6" s="8">
        <f>Assumptions!$C$21</f>
        <v/>
      </c>
    </row>
    <row r="7">
      <c r="B7" s="6" t="inlineStr">
        <is>
          <t>Total debt at close ($m)</t>
        </is>
      </c>
      <c r="C7" s="7">
        <f>'Sources &amp; Uses'!$C$17</f>
        <v/>
      </c>
    </row>
    <row r="8">
      <c r="B8" s="6" t="inlineStr">
        <is>
          <t>Opening leverage (debt / LTM EBITDA)</t>
        </is>
      </c>
      <c r="C8" s="9">
        <f>'Sources &amp; Uses'!$C$17/Assumptions!$C$10</f>
        <v/>
      </c>
    </row>
    <row r="9">
      <c r="B9" s="6" t="inlineStr">
        <is>
          <t>Sponsor equity cheque ($m)</t>
        </is>
      </c>
      <c r="C9" s="7">
        <f>'Sources &amp; Uses'!$C$18</f>
        <v/>
      </c>
    </row>
    <row r="10">
      <c r="B10" s="6" t="inlineStr">
        <is>
          <t>Hold period (years)</t>
        </is>
      </c>
      <c r="C10" s="10">
        <f>Assumptions!$C$46</f>
        <v/>
      </c>
    </row>
    <row r="12">
      <c r="B12" s="4" t="inlineStr">
        <is>
          <t>HEADLINE OUTPUTS</t>
        </is>
      </c>
      <c r="C12" s="5" t="n"/>
      <c r="D12" s="5" t="n"/>
      <c r="E12" s="5" t="n"/>
      <c r="F12" s="5" t="n"/>
      <c r="G12" s="5" t="n"/>
      <c r="H12" s="5" t="n"/>
      <c r="I12" s="5" t="n"/>
    </row>
    <row r="13">
      <c r="B13" s="6" t="inlineStr">
        <is>
          <t>Sponsor IRR (annual)</t>
        </is>
      </c>
      <c r="C13" s="11">
        <f>Returns!$C$18</f>
        <v/>
      </c>
    </row>
    <row r="14">
      <c r="B14" s="6" t="inlineStr">
        <is>
          <t>Sponsor MoIC</t>
        </is>
      </c>
      <c r="C14" s="12">
        <f>Returns!$C$19</f>
        <v/>
      </c>
    </row>
    <row r="15">
      <c r="B15" s="6" t="inlineStr">
        <is>
          <t>Exit equity proceeds ($m)</t>
        </is>
      </c>
      <c r="C15" s="7">
        <f>Returns!$C$20</f>
        <v/>
      </c>
    </row>
    <row r="16">
      <c r="B16" s="6" t="inlineStr">
        <is>
          <t>Sponsor equity cheque ($m)</t>
        </is>
      </c>
      <c r="C16" s="7">
        <f>Returns!$C$21</f>
        <v/>
      </c>
    </row>
    <row r="18">
      <c r="B18" s="4" t="inlineStr">
        <is>
          <t>CONTENTS</t>
        </is>
      </c>
      <c r="C18" s="5" t="n"/>
      <c r="D18" s="5" t="n"/>
      <c r="E18" s="5" t="n"/>
      <c r="F18" s="5" t="n"/>
      <c r="G18" s="5" t="n"/>
      <c r="H18" s="5" t="n"/>
      <c r="I18" s="5" t="n"/>
    </row>
    <row r="19">
      <c r="B19" s="13" t="inlineStr">
        <is>
          <t>Assumptions</t>
        </is>
      </c>
    </row>
    <row r="20">
      <c r="B20" s="13" t="inlineStr">
        <is>
          <t>Sources &amp; Uses</t>
        </is>
      </c>
    </row>
    <row r="21">
      <c r="B21" s="13" t="inlineStr">
        <is>
          <t>Operating Model</t>
        </is>
      </c>
    </row>
    <row r="22">
      <c r="B22" s="13" t="inlineStr">
        <is>
          <t>Debt Schedule</t>
        </is>
      </c>
    </row>
    <row r="23">
      <c r="B23" s="13" t="inlineStr">
        <is>
          <t>Returns</t>
        </is>
      </c>
    </row>
    <row r="24">
      <c r="B24" s="13" t="inlineStr">
        <is>
          <t>Sensitivity</t>
        </is>
      </c>
    </row>
    <row r="26">
      <c r="B26" s="3" t="inlineStr">
        <is>
          <t>Convention: bullet debt, no cash sweep, no revolver, no dividends; interest on opening balances; FCF accumulates as cash and is EXCLUDED from the exit equity bridge (deal brief, section 5).</t>
        </is>
      </c>
    </row>
  </sheetData>
  <hyperlinks>
    <hyperlink ref="B19" location="'Assumptions'!A1" display="Assumptions"/>
    <hyperlink ref="B20" location="'Sources &amp; Uses'!A1" display="Sources &amp; Uses"/>
    <hyperlink ref="B21" location="'Operating Model'!A1" display="Operating Model"/>
    <hyperlink ref="B22" location="'Debt Schedule'!A1" display="Debt Schedule"/>
    <hyperlink ref="B23" location="'Returns'!A1" display="Returns"/>
    <hyperlink ref="B24" location="'Sensitivity'!A1" display="Sensitivity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I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ASSUMPTIONS — ALL MODEL INPUTS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Blue = hardcoded input - black = calculation - USD millions unless stated</t>
        </is>
      </c>
    </row>
    <row r="4">
      <c r="B4" s="4" t="inlineStr">
        <is>
          <t>TARGET &amp; HISTORICAL FINANCIALS</t>
        </is>
      </c>
      <c r="C4" s="5" t="n"/>
      <c r="D4" s="5" t="n"/>
      <c r="E4" s="5" t="n"/>
      <c r="F4" s="5" t="n"/>
      <c r="G4" s="5" t="n"/>
      <c r="H4" s="5" t="n"/>
      <c r="I4" s="5" t="n"/>
    </row>
    <row r="5">
      <c r="C5" s="14" t="inlineStr">
        <is>
          <t>FY-2</t>
        </is>
      </c>
      <c r="D5" s="14" t="inlineStr">
        <is>
          <t>FY-1</t>
        </is>
      </c>
      <c r="E5" s="14" t="inlineStr">
        <is>
          <t>FY0 (LTM)</t>
        </is>
      </c>
    </row>
    <row r="6">
      <c r="B6" s="6" t="inlineStr">
        <is>
          <t>Revenue</t>
        </is>
      </c>
      <c r="C6" s="15" t="n">
        <v>81</v>
      </c>
      <c r="D6" s="15" t="n">
        <v>90</v>
      </c>
      <c r="E6" s="15" t="n">
        <v>100</v>
      </c>
    </row>
    <row r="7">
      <c r="B7" s="6" t="inlineStr">
        <is>
          <t>EBITDA</t>
        </is>
      </c>
      <c r="C7" s="15" t="n">
        <v>26.7</v>
      </c>
      <c r="D7" s="15" t="n">
        <v>30.6</v>
      </c>
      <c r="E7" s="15" t="n">
        <v>35</v>
      </c>
    </row>
    <row r="8">
      <c r="B8" s="6" t="inlineStr">
        <is>
          <t>EBITDA margin</t>
        </is>
      </c>
      <c r="C8" s="16">
        <f>C7/C6</f>
        <v/>
      </c>
      <c r="D8" s="16">
        <f>D7/D6</f>
        <v/>
      </c>
      <c r="E8" s="16">
        <f>E7/E6</f>
        <v/>
      </c>
    </row>
    <row r="9">
      <c r="B9" s="6" t="inlineStr">
        <is>
          <t>Revenue growth</t>
        </is>
      </c>
      <c r="D9" s="16">
        <f>D6/C6-1</f>
        <v/>
      </c>
      <c r="E9" s="16">
        <f>E6/D6-1</f>
        <v/>
      </c>
    </row>
    <row r="10">
      <c r="B10" s="17" t="inlineStr">
        <is>
          <t>Entry (LTM) EBITDA</t>
        </is>
      </c>
      <c r="C10" s="18">
        <f>E7</f>
        <v/>
      </c>
    </row>
    <row r="11">
      <c r="B11" s="6" t="inlineStr">
        <is>
          <t>Target net debt at close (refinanced)</t>
        </is>
      </c>
      <c r="C11" s="15" t="n">
        <v>20</v>
      </c>
    </row>
    <row r="13">
      <c r="B13" s="4" t="inlineStr">
        <is>
          <t>OFFER &amp; ENTRY VALUATION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B14" s="6" t="inlineStr">
        <is>
          <t>Current share price ($/share)</t>
        </is>
      </c>
      <c r="C14" s="19" t="n">
        <v>4.4</v>
      </c>
    </row>
    <row r="15">
      <c r="B15" s="6" t="inlineStr">
        <is>
          <t>Offer premium</t>
        </is>
      </c>
      <c r="C15" s="20" t="n">
        <v>0.25</v>
      </c>
    </row>
    <row r="16">
      <c r="B16" s="6" t="inlineStr">
        <is>
          <t>Offer price per share ($/share)</t>
        </is>
      </c>
      <c r="C16" s="21">
        <f>C14*(1+C15)</f>
        <v/>
      </c>
    </row>
    <row r="17">
      <c r="B17" s="6" t="inlineStr">
        <is>
          <t>Fully diluted shares (m)</t>
        </is>
      </c>
      <c r="C17" s="15" t="n">
        <v>60</v>
      </c>
    </row>
    <row r="18">
      <c r="B18" s="6" t="inlineStr">
        <is>
          <t>Option / RSU buyout</t>
        </is>
      </c>
      <c r="C18" s="15" t="n">
        <v>0</v>
      </c>
    </row>
    <row r="19">
      <c r="B19" s="17" t="inlineStr">
        <is>
          <t>Equity purchase price</t>
        </is>
      </c>
      <c r="C19" s="18">
        <f>C16*C17+C18</f>
        <v/>
      </c>
    </row>
    <row r="20">
      <c r="B20" s="17" t="inlineStr">
        <is>
          <t>Entry enterprise value</t>
        </is>
      </c>
      <c r="C20" s="18">
        <f>C19+C11</f>
        <v/>
      </c>
    </row>
    <row r="21">
      <c r="B21" s="6" t="inlineStr">
        <is>
          <t>Implied entry EV / EBITDA</t>
        </is>
      </c>
      <c r="C21" s="9">
        <f>C20/C10</f>
        <v/>
      </c>
    </row>
    <row r="23">
      <c r="B23" s="4" t="inlineStr">
        <is>
          <t>TRANSACTION COSTS &amp; MINIMUM CASH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B24" s="6" t="inlineStr">
        <is>
          <t>M&amp;A advisory fees</t>
        </is>
      </c>
      <c r="C24" s="15" t="n">
        <v>7</v>
      </c>
    </row>
    <row r="25">
      <c r="B25" s="6" t="inlineStr">
        <is>
          <t>Financing fees</t>
        </is>
      </c>
      <c r="C25" s="15" t="n">
        <v>5</v>
      </c>
    </row>
    <row r="26">
      <c r="B26" s="6" t="inlineStr">
        <is>
          <t>Minimum cash funded to balance sheet</t>
        </is>
      </c>
      <c r="C26" s="15" t="n">
        <v>5</v>
      </c>
    </row>
    <row r="28">
      <c r="B28" s="4" t="inlineStr">
        <is>
          <t>DEBT FINANCING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B29" s="6" t="inlineStr">
        <is>
          <t>SOFR (base rate)</t>
        </is>
      </c>
      <c r="C29" s="22" t="n">
        <v>0.04</v>
      </c>
    </row>
    <row r="30">
      <c r="C30" s="14" t="inlineStr">
        <is>
          <t>Leverage (x LTM)</t>
        </is>
      </c>
      <c r="D30" s="14" t="inlineStr">
        <is>
          <t>Spread</t>
        </is>
      </c>
      <c r="E30" s="14" t="inlineStr">
        <is>
          <t>All-in rate</t>
        </is>
      </c>
      <c r="F30" s="14" t="inlineStr">
        <is>
          <t>Tenor (yrs)</t>
        </is>
      </c>
      <c r="G30" s="14" t="inlineStr">
        <is>
          <t>Amortisation</t>
        </is>
      </c>
    </row>
    <row r="31">
      <c r="B31" s="6" t="inlineStr">
        <is>
          <t>Senior Term Loan</t>
        </is>
      </c>
      <c r="C31" s="23" t="n">
        <v>4.5</v>
      </c>
      <c r="D31" s="22" t="n">
        <v>0.035</v>
      </c>
      <c r="E31" s="24">
        <f>$C$29+D31</f>
        <v/>
      </c>
      <c r="F31" s="25" t="n">
        <v>7</v>
      </c>
      <c r="G31" s="26" t="inlineStr">
        <is>
          <t>Bullet</t>
        </is>
      </c>
    </row>
    <row r="32">
      <c r="B32" s="6" t="inlineStr">
        <is>
          <t>Mezzanine Notes</t>
        </is>
      </c>
      <c r="C32" s="23" t="n">
        <v>1</v>
      </c>
      <c r="D32" s="22" t="n">
        <v>0.07000000000000001</v>
      </c>
      <c r="E32" s="24">
        <f>$C$29+D32</f>
        <v/>
      </c>
      <c r="F32" s="25" t="n">
        <v>8</v>
      </c>
      <c r="G32" s="26" t="inlineStr">
        <is>
          <t>Bullet</t>
        </is>
      </c>
    </row>
    <row r="33">
      <c r="B33" s="3" t="inlineStr">
        <is>
          <t>Conventions: no cash sweep - no revolver - no dividend recap - no PIK - no OID/floors - interest accrues on opening balance of each year.</t>
        </is>
      </c>
    </row>
    <row r="35">
      <c r="B35" s="4" t="inlineStr">
        <is>
          <t>OPERATING PLAN (PROJECTION YEARS 1-5)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C36" s="14" t="inlineStr">
        <is>
          <t>Year 1</t>
        </is>
      </c>
      <c r="D36" s="14" t="inlineStr">
        <is>
          <t>Year 2</t>
        </is>
      </c>
      <c r="E36" s="14" t="inlineStr">
        <is>
          <t>Year 3</t>
        </is>
      </c>
      <c r="F36" s="14" t="inlineStr">
        <is>
          <t>Year 4</t>
        </is>
      </c>
      <c r="G36" s="14" t="inlineStr">
        <is>
          <t>Year 5</t>
        </is>
      </c>
    </row>
    <row r="37">
      <c r="B37" s="6" t="inlineStr">
        <is>
          <t>Revenue growth</t>
        </is>
      </c>
      <c r="C37" s="20" t="n">
        <v>0.12</v>
      </c>
      <c r="D37" s="20" t="n">
        <v>0.11</v>
      </c>
      <c r="E37" s="20" t="n">
        <v>0.1</v>
      </c>
      <c r="F37" s="20" t="n">
        <v>0.09</v>
      </c>
      <c r="G37" s="20" t="n">
        <v>0.08</v>
      </c>
    </row>
    <row r="38">
      <c r="B38" s="6" t="inlineStr">
        <is>
          <t>EBITDA margin</t>
        </is>
      </c>
      <c r="C38" s="20" t="n">
        <v>0.35</v>
      </c>
      <c r="D38" s="20" t="n">
        <v>0.36</v>
      </c>
      <c r="E38" s="20" t="n">
        <v>0.36</v>
      </c>
      <c r="F38" s="20" t="n">
        <v>0.37</v>
      </c>
      <c r="G38" s="20" t="n">
        <v>0.38</v>
      </c>
    </row>
    <row r="39">
      <c r="B39" s="6" t="inlineStr">
        <is>
          <t>D&amp;A (% of revenue)</t>
        </is>
      </c>
      <c r="C39" s="20" t="n">
        <v>0.04</v>
      </c>
    </row>
    <row r="40">
      <c r="B40" s="6" t="inlineStr">
        <is>
          <t>Maintenance capex (% of revenue)</t>
        </is>
      </c>
      <c r="C40" s="20" t="n">
        <v>0.03</v>
      </c>
    </row>
    <row r="41">
      <c r="B41" s="6" t="inlineStr">
        <is>
          <t>Growth capex (% of revenue)</t>
        </is>
      </c>
      <c r="C41" s="20" t="n">
        <v>0.01</v>
      </c>
    </row>
    <row r="42">
      <c r="B42" s="6" t="inlineStr">
        <is>
          <t>Change in NWC (% of change in revenue)</t>
        </is>
      </c>
      <c r="C42" s="20" t="n">
        <v>0.05</v>
      </c>
    </row>
    <row r="43">
      <c r="B43" s="6" t="inlineStr">
        <is>
          <t>Cash tax rate</t>
        </is>
      </c>
      <c r="C43" s="20" t="n">
        <v>0.25</v>
      </c>
    </row>
    <row r="45">
      <c r="B45" s="4" t="inlineStr">
        <is>
          <t>EXIT ASSUMPTIONS</t>
        </is>
      </c>
      <c r="C45" s="5" t="n"/>
      <c r="D45" s="5" t="n"/>
      <c r="E45" s="5" t="n"/>
      <c r="F45" s="5" t="n"/>
      <c r="G45" s="5" t="n"/>
      <c r="H45" s="5" t="n"/>
      <c r="I45" s="5" t="n"/>
    </row>
    <row r="46">
      <c r="B46" s="6" t="inlineStr">
        <is>
          <t>Hold period (years)</t>
        </is>
      </c>
      <c r="C46" s="25" t="n">
        <v>5</v>
      </c>
    </row>
    <row r="47">
      <c r="B47" s="6" t="inlineStr">
        <is>
          <t>Exit EV / EBITDA multiple (strategic sale)</t>
        </is>
      </c>
      <c r="C47" s="23" t="n">
        <v>9</v>
      </c>
    </row>
    <row r="48">
      <c r="B48" s="6" t="inlineStr">
        <is>
          <t>Exit EBITDA basis</t>
        </is>
      </c>
      <c r="C48" s="27" t="inlineStr">
        <is>
          <t>Projected Year-5 EBITDA</t>
        </is>
      </c>
    </row>
    <row r="49">
      <c r="B49" s="3" t="inlineStr">
        <is>
          <t>Exit equity = exit EV - face debt outstanding; accumulated balance-sheet cash excluded (stated conservative convention).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SOURCES &amp; USES OF FUNDS (AT CLOSE)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USD millions - all funded at close</t>
        </is>
      </c>
    </row>
    <row r="4">
      <c r="B4" s="4" t="inlineStr">
        <is>
          <t>USES OF FUNDS</t>
        </is>
      </c>
      <c r="C4" s="5" t="n"/>
      <c r="D4" s="5" t="n"/>
      <c r="E4" s="5" t="n"/>
      <c r="F4" s="5" t="n"/>
      <c r="G4" s="5" t="n"/>
      <c r="H4" s="5" t="n"/>
      <c r="I4" s="5" t="n"/>
    </row>
    <row r="5">
      <c r="C5" s="14" t="inlineStr">
        <is>
          <t>$m</t>
        </is>
      </c>
      <c r="D5" s="14" t="inlineStr">
        <is>
          <t>% of total</t>
        </is>
      </c>
    </row>
    <row r="6">
      <c r="B6" s="6" t="inlineStr">
        <is>
          <t>Equity purchase price</t>
        </is>
      </c>
      <c r="C6" s="7">
        <f>Assumptions!$C$19</f>
        <v/>
      </c>
      <c r="D6" s="16">
        <f>C6/$C$11</f>
        <v/>
      </c>
    </row>
    <row r="7">
      <c r="B7" s="6" t="inlineStr">
        <is>
          <t>Refinance target net debt</t>
        </is>
      </c>
      <c r="C7" s="7">
        <f>Assumptions!$C$11</f>
        <v/>
      </c>
      <c r="D7" s="16">
        <f>C7/$C$11</f>
        <v/>
      </c>
    </row>
    <row r="8">
      <c r="B8" s="6" t="inlineStr">
        <is>
          <t>M&amp;A advisory fees</t>
        </is>
      </c>
      <c r="C8" s="7">
        <f>Assumptions!$C$24</f>
        <v/>
      </c>
      <c r="D8" s="16">
        <f>C8/$C$11</f>
        <v/>
      </c>
    </row>
    <row r="9">
      <c r="B9" s="6" t="inlineStr">
        <is>
          <t>Financing fees</t>
        </is>
      </c>
      <c r="C9" s="7">
        <f>Assumptions!$C$25</f>
        <v/>
      </c>
      <c r="D9" s="16">
        <f>C9/$C$11</f>
        <v/>
      </c>
    </row>
    <row r="10">
      <c r="B10" s="6" t="inlineStr">
        <is>
          <t>Minimum cash funded to balance sheet</t>
        </is>
      </c>
      <c r="C10" s="7">
        <f>Assumptions!$C$26</f>
        <v/>
      </c>
      <c r="D10" s="16">
        <f>C10/$C$11</f>
        <v/>
      </c>
    </row>
    <row r="11">
      <c r="B11" s="17" t="inlineStr">
        <is>
          <t>Total uses</t>
        </is>
      </c>
      <c r="C11" s="28">
        <f>SUM(C6:C10)</f>
        <v/>
      </c>
      <c r="D11" s="29">
        <f>SUM(D6:D10)</f>
        <v/>
      </c>
    </row>
    <row r="13">
      <c r="B13" s="4" t="inlineStr">
        <is>
          <t>SOURCES OF FUNDS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C14" s="14" t="inlineStr">
        <is>
          <t>$m</t>
        </is>
      </c>
      <c r="D14" s="14" t="inlineStr">
        <is>
          <t>% of total</t>
        </is>
      </c>
      <c r="E14" s="14" t="inlineStr">
        <is>
          <t>x LTM EBITDA</t>
        </is>
      </c>
    </row>
    <row r="15">
      <c r="B15" s="6" t="inlineStr">
        <is>
          <t>Senior Term Loan (SOFR+350, bullet, 7y)</t>
        </is>
      </c>
      <c r="C15" s="30">
        <f>Assumptions!$C$31*Assumptions!$C$10</f>
        <v/>
      </c>
      <c r="D15" s="16">
        <f>C15/$C$19</f>
        <v/>
      </c>
      <c r="E15" s="9">
        <f>C15/Assumptions!$C$10</f>
        <v/>
      </c>
    </row>
    <row r="16">
      <c r="B16" s="6" t="inlineStr">
        <is>
          <t>Mezzanine Notes (SOFR+700, bullet, 8y)</t>
        </is>
      </c>
      <c r="C16" s="30">
        <f>Assumptions!$C$32*Assumptions!$C$10</f>
        <v/>
      </c>
      <c r="D16" s="16">
        <f>C16/$C$19</f>
        <v/>
      </c>
      <c r="E16" s="9">
        <f>C16/Assumptions!$C$10</f>
        <v/>
      </c>
    </row>
    <row r="17">
      <c r="B17" s="17" t="inlineStr">
        <is>
          <t>Total debt</t>
        </is>
      </c>
      <c r="C17" s="28">
        <f>SUM(C15:C16)</f>
        <v/>
      </c>
      <c r="D17" s="16">
        <f>C17/$C$19</f>
        <v/>
      </c>
      <c r="E17" s="9">
        <f>C17/Assumptions!$C$10</f>
        <v/>
      </c>
    </row>
    <row r="18">
      <c r="B18" s="17" t="inlineStr">
        <is>
          <t>Sponsor equity (balancing plug; new money, no rollover)</t>
        </is>
      </c>
      <c r="C18" s="18">
        <f>C11-C17</f>
        <v/>
      </c>
      <c r="D18" s="16">
        <f>C18/$C$19</f>
        <v/>
      </c>
    </row>
    <row r="19">
      <c r="B19" s="17" t="inlineStr">
        <is>
          <t>Total sources</t>
        </is>
      </c>
      <c r="C19" s="28">
        <f>C17+C18</f>
        <v/>
      </c>
      <c r="D19" s="29">
        <f>SUM(D17:D18)</f>
        <v/>
      </c>
    </row>
    <row r="21">
      <c r="B21" s="4" t="inlineStr">
        <is>
          <t>CHECKS &amp; ENTRY VALUATION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B22" s="6" t="inlineStr">
        <is>
          <t>Balance check: sources - uses (must be 0)</t>
        </is>
      </c>
      <c r="C22" s="31">
        <f>C19-C11</f>
        <v/>
      </c>
      <c r="D22" s="14">
        <f>IF(ABS(C22)&lt;0.000001,"OK","ERROR")</f>
        <v/>
      </c>
    </row>
    <row r="23">
      <c r="B23" s="6" t="inlineStr">
        <is>
          <t>Entry enterprise value</t>
        </is>
      </c>
      <c r="C23" s="7">
        <f>Assumptions!$C$20</f>
        <v/>
      </c>
    </row>
    <row r="24">
      <c r="B24" s="6" t="inlineStr">
        <is>
          <t>Implied entry EV / LTM EBITDA</t>
        </is>
      </c>
      <c r="C24" s="9">
        <f>C23/Assumptions!$C$10</f>
        <v/>
      </c>
    </row>
    <row r="25">
      <c r="B25" s="6" t="inlineStr">
        <is>
          <t>Opening leverage: total debt / LTM EBITDA</t>
        </is>
      </c>
      <c r="C25" s="9">
        <f>C17/Assumptions!$C$10</f>
        <v/>
      </c>
    </row>
    <row r="26">
      <c r="B26" s="6" t="inlineStr">
        <is>
          <t>Equity contribution (% of total capitalization)</t>
        </is>
      </c>
      <c r="C26" s="16">
        <f>C18/C19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OPERATING MODEL &amp; FREE CASH FLOW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USD millions - projection years 1-5 (hold period)</t>
        </is>
      </c>
    </row>
    <row r="4">
      <c r="C4" s="14" t="inlineStr">
        <is>
          <t>FY0A</t>
        </is>
      </c>
      <c r="D4" s="14" t="inlineStr">
        <is>
          <t>FY1E</t>
        </is>
      </c>
      <c r="E4" s="14" t="inlineStr">
        <is>
          <t>FY2E</t>
        </is>
      </c>
      <c r="F4" s="14" t="inlineStr">
        <is>
          <t>FY3E</t>
        </is>
      </c>
      <c r="G4" s="14" t="inlineStr">
        <is>
          <t>FY4E</t>
        </is>
      </c>
      <c r="H4" s="14" t="inlineStr">
        <is>
          <t>FY5E</t>
        </is>
      </c>
    </row>
    <row r="5">
      <c r="B5" s="4" t="inlineStr">
        <is>
          <t>REVENUE &amp; PROFITABILITY</t>
        </is>
      </c>
      <c r="C5" s="5" t="n"/>
      <c r="D5" s="5" t="n"/>
      <c r="E5" s="5" t="n"/>
      <c r="F5" s="5" t="n"/>
      <c r="G5" s="5" t="n"/>
      <c r="H5" s="5" t="n"/>
      <c r="I5" s="5" t="n"/>
    </row>
    <row r="6">
      <c r="B6" s="6" t="inlineStr">
        <is>
          <t>Revenue growth</t>
        </is>
      </c>
      <c r="D6" s="32">
        <f>Assumptions!C37</f>
        <v/>
      </c>
      <c r="E6" s="32">
        <f>Assumptions!D37</f>
        <v/>
      </c>
      <c r="F6" s="32">
        <f>Assumptions!E37</f>
        <v/>
      </c>
      <c r="G6" s="32">
        <f>Assumptions!F37</f>
        <v/>
      </c>
      <c r="H6" s="32">
        <f>Assumptions!G37</f>
        <v/>
      </c>
    </row>
    <row r="7">
      <c r="B7" s="6" t="inlineStr">
        <is>
          <t>Revenue</t>
        </is>
      </c>
      <c r="C7" s="7">
        <f>Assumptions!$E$6</f>
        <v/>
      </c>
      <c r="D7" s="30">
        <f>C7*(1+D6)</f>
        <v/>
      </c>
      <c r="E7" s="30">
        <f>D7*(1+E6)</f>
        <v/>
      </c>
      <c r="F7" s="30">
        <f>E7*(1+F6)</f>
        <v/>
      </c>
      <c r="G7" s="30">
        <f>F7*(1+G6)</f>
        <v/>
      </c>
      <c r="H7" s="30">
        <f>G7*(1+H6)</f>
        <v/>
      </c>
    </row>
    <row r="8">
      <c r="B8" s="6" t="inlineStr">
        <is>
          <t>EBITDA margin</t>
        </is>
      </c>
      <c r="C8" s="16">
        <f>C9/C7</f>
        <v/>
      </c>
      <c r="D8" s="32">
        <f>Assumptions!C38</f>
        <v/>
      </c>
      <c r="E8" s="32">
        <f>Assumptions!D38</f>
        <v/>
      </c>
      <c r="F8" s="32">
        <f>Assumptions!E38</f>
        <v/>
      </c>
      <c r="G8" s="32">
        <f>Assumptions!F38</f>
        <v/>
      </c>
      <c r="H8" s="32">
        <f>Assumptions!G38</f>
        <v/>
      </c>
    </row>
    <row r="9">
      <c r="B9" s="17" t="inlineStr">
        <is>
          <t>EBITDA</t>
        </is>
      </c>
      <c r="C9" s="33">
        <f>Assumptions!$E$7</f>
        <v/>
      </c>
      <c r="D9" s="18">
        <f>D7*D8</f>
        <v/>
      </c>
      <c r="E9" s="18">
        <f>E7*E8</f>
        <v/>
      </c>
      <c r="F9" s="18">
        <f>F7*F8</f>
        <v/>
      </c>
      <c r="G9" s="18">
        <f>G7*G8</f>
        <v/>
      </c>
      <c r="H9" s="18">
        <f>H7*H8</f>
        <v/>
      </c>
    </row>
    <row r="10">
      <c r="B10" s="6" t="inlineStr">
        <is>
          <t>D&amp;A (4.0% of revenue)</t>
        </is>
      </c>
      <c r="D10" s="30">
        <f>Assumptions!$C$39*D7</f>
        <v/>
      </c>
      <c r="E10" s="30">
        <f>Assumptions!$C$39*E7</f>
        <v/>
      </c>
      <c r="F10" s="30">
        <f>Assumptions!$C$39*F7</f>
        <v/>
      </c>
      <c r="G10" s="30">
        <f>Assumptions!$C$39*G7</f>
        <v/>
      </c>
      <c r="H10" s="30">
        <f>Assumptions!$C$39*H7</f>
        <v/>
      </c>
    </row>
    <row r="11">
      <c r="B11" s="6" t="inlineStr">
        <is>
          <t>EBIT</t>
        </is>
      </c>
      <c r="D11" s="30">
        <f>D9-D10</f>
        <v/>
      </c>
      <c r="E11" s="30">
        <f>E9-E10</f>
        <v/>
      </c>
      <c r="F11" s="30">
        <f>F9-F10</f>
        <v/>
      </c>
      <c r="G11" s="30">
        <f>G9-G10</f>
        <v/>
      </c>
      <c r="H11" s="30">
        <f>H9-H10</f>
        <v/>
      </c>
    </row>
    <row r="13">
      <c r="B13" s="4" t="inlineStr">
        <is>
          <t>FREE CASH FLOW BUILD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B14" s="6" t="inlineStr">
        <is>
          <t>EBITDA</t>
        </is>
      </c>
      <c r="D14" s="30">
        <f>D9</f>
        <v/>
      </c>
      <c r="E14" s="30">
        <f>E9</f>
        <v/>
      </c>
      <c r="F14" s="30">
        <f>F9</f>
        <v/>
      </c>
      <c r="G14" s="30">
        <f>G9</f>
        <v/>
      </c>
      <c r="H14" s="30">
        <f>H9</f>
        <v/>
      </c>
    </row>
    <row r="15">
      <c r="B15" s="6" t="inlineStr">
        <is>
          <t>Less: cash interest (opening balances)</t>
        </is>
      </c>
      <c r="D15" s="7">
        <f>-'Debt Schedule'!D21</f>
        <v/>
      </c>
      <c r="E15" s="7">
        <f>-'Debt Schedule'!E21</f>
        <v/>
      </c>
      <c r="F15" s="7">
        <f>-'Debt Schedule'!F21</f>
        <v/>
      </c>
      <c r="G15" s="7">
        <f>-'Debt Schedule'!G21</f>
        <v/>
      </c>
      <c r="H15" s="7">
        <f>-'Debt Schedule'!H21</f>
        <v/>
      </c>
    </row>
    <row r="16">
      <c r="B16" s="6" t="inlineStr">
        <is>
          <t>Less: cash taxes (25% x EBT)</t>
        </is>
      </c>
      <c r="D16" s="30">
        <f>-Assumptions!$C$43*(D11+D15)</f>
        <v/>
      </c>
      <c r="E16" s="30">
        <f>-Assumptions!$C$43*(E11+E15)</f>
        <v/>
      </c>
      <c r="F16" s="30">
        <f>-Assumptions!$C$43*(F11+F15)</f>
        <v/>
      </c>
      <c r="G16" s="30">
        <f>-Assumptions!$C$43*(G11+G15)</f>
        <v/>
      </c>
      <c r="H16" s="30">
        <f>-Assumptions!$C$43*(H11+H15)</f>
        <v/>
      </c>
    </row>
    <row r="17">
      <c r="B17" s="6" t="inlineStr">
        <is>
          <t>Less: maintenance capex (3.0% of revenue)</t>
        </is>
      </c>
      <c r="D17" s="30">
        <f>-Assumptions!$C$40*D7</f>
        <v/>
      </c>
      <c r="E17" s="30">
        <f>-Assumptions!$C$40*E7</f>
        <v/>
      </c>
      <c r="F17" s="30">
        <f>-Assumptions!$C$40*F7</f>
        <v/>
      </c>
      <c r="G17" s="30">
        <f>-Assumptions!$C$40*G7</f>
        <v/>
      </c>
      <c r="H17" s="30">
        <f>-Assumptions!$C$40*H7</f>
        <v/>
      </c>
    </row>
    <row r="18">
      <c r="B18" s="6" t="inlineStr">
        <is>
          <t>Less: growth capex (1.0% of revenue)</t>
        </is>
      </c>
      <c r="D18" s="30">
        <f>-Assumptions!$C$41*D7</f>
        <v/>
      </c>
      <c r="E18" s="30">
        <f>-Assumptions!$C$41*E7</f>
        <v/>
      </c>
      <c r="F18" s="30">
        <f>-Assumptions!$C$41*F7</f>
        <v/>
      </c>
      <c r="G18" s="30">
        <f>-Assumptions!$C$41*G7</f>
        <v/>
      </c>
      <c r="H18" s="30">
        <f>-Assumptions!$C$41*H7</f>
        <v/>
      </c>
    </row>
    <row r="19">
      <c r="B19" s="6" t="inlineStr">
        <is>
          <t>Less: change in net working capital (5% x chg revenue)</t>
        </is>
      </c>
      <c r="D19" s="30">
        <f>-Assumptions!$C$42*(D7-C7)</f>
        <v/>
      </c>
      <c r="E19" s="30">
        <f>-Assumptions!$C$42*(E7-D7)</f>
        <v/>
      </c>
      <c r="F19" s="30">
        <f>-Assumptions!$C$42*(F7-E7)</f>
        <v/>
      </c>
      <c r="G19" s="30">
        <f>-Assumptions!$C$42*(G7-F7)</f>
        <v/>
      </c>
      <c r="H19" s="30">
        <f>-Assumptions!$C$42*(H7-G7)</f>
        <v/>
      </c>
    </row>
    <row r="20">
      <c r="B20" s="17" t="inlineStr">
        <is>
          <t>Free cash flow (no sweep - builds as cash)</t>
        </is>
      </c>
      <c r="D20" s="28">
        <f>SUM(D14:D19)</f>
        <v/>
      </c>
      <c r="E20" s="28">
        <f>SUM(E14:E19)</f>
        <v/>
      </c>
      <c r="F20" s="28">
        <f>SUM(F14:F19)</f>
        <v/>
      </c>
      <c r="G20" s="28">
        <f>SUM(G14:G19)</f>
        <v/>
      </c>
      <c r="H20" s="28">
        <f>SUM(H14:H19)</f>
        <v/>
      </c>
    </row>
    <row r="22">
      <c r="B22" s="4" t="inlineStr">
        <is>
          <t>CASH ROLL-FORWARD (NO CASH SWEEP)</t>
        </is>
      </c>
      <c r="C22" s="5" t="n"/>
      <c r="D22" s="5" t="n"/>
      <c r="E22" s="5" t="n"/>
      <c r="F22" s="5" t="n"/>
      <c r="G22" s="5" t="n"/>
      <c r="H22" s="5" t="n"/>
      <c r="I22" s="5" t="n"/>
    </row>
    <row r="23">
      <c r="B23" s="6" t="inlineStr">
        <is>
          <t>Opening cash</t>
        </is>
      </c>
      <c r="D23" s="7">
        <f>'Sources &amp; Uses'!$C$10</f>
        <v/>
      </c>
      <c r="E23" s="30">
        <f>D25</f>
        <v/>
      </c>
      <c r="F23" s="30">
        <f>E25</f>
        <v/>
      </c>
      <c r="G23" s="30">
        <f>F25</f>
        <v/>
      </c>
      <c r="H23" s="30">
        <f>G25</f>
        <v/>
      </c>
    </row>
    <row r="24">
      <c r="B24" s="6" t="inlineStr">
        <is>
          <t>Plus: free cash flow</t>
        </is>
      </c>
      <c r="D24" s="30">
        <f>D20</f>
        <v/>
      </c>
      <c r="E24" s="30">
        <f>E20</f>
        <v/>
      </c>
      <c r="F24" s="30">
        <f>F20</f>
        <v/>
      </c>
      <c r="G24" s="30">
        <f>G20</f>
        <v/>
      </c>
      <c r="H24" s="30">
        <f>H20</f>
        <v/>
      </c>
    </row>
    <row r="25">
      <c r="B25" s="17" t="inlineStr">
        <is>
          <t>Closing cash</t>
        </is>
      </c>
      <c r="D25" s="28">
        <f>D23+D24</f>
        <v/>
      </c>
      <c r="E25" s="28">
        <f>E23+E24</f>
        <v/>
      </c>
      <c r="F25" s="28">
        <f>F23+F24</f>
        <v/>
      </c>
      <c r="G25" s="28">
        <f>G23+G24</f>
        <v/>
      </c>
      <c r="H25" s="28">
        <f>H23+H24</f>
        <v/>
      </c>
    </row>
    <row r="27">
      <c r="B27" s="6" t="inlineStr">
        <is>
          <t>Memo: pre-tax income (EBT)</t>
        </is>
      </c>
      <c r="D27" s="30">
        <f>D11+D15</f>
        <v/>
      </c>
      <c r="E27" s="30">
        <f>E11+E15</f>
        <v/>
      </c>
      <c r="F27" s="30">
        <f>F11+F15</f>
        <v/>
      </c>
      <c r="G27" s="30">
        <f>G11+G15</f>
        <v/>
      </c>
      <c r="H27" s="30">
        <f>H11+H15</f>
        <v/>
      </c>
    </row>
    <row r="28">
      <c r="B28" s="3" t="inlineStr">
        <is>
          <t>Cash accumulates on the balance sheet and is EXCLUDED from the exit equity bridge (deal convention, brief section 5). It does not affect headline IRR / MoIC.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DEBT SCHEDULE — PER-TRANCHE ROLL-FORWARD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USD millions - both tranches bullet, no cash sweep - interest on opening balance</t>
        </is>
      </c>
    </row>
    <row r="4">
      <c r="C4" s="14" t="inlineStr">
        <is>
          <t>At close</t>
        </is>
      </c>
      <c r="D4" s="14" t="inlineStr">
        <is>
          <t>FY1E</t>
        </is>
      </c>
      <c r="E4" s="14" t="inlineStr">
        <is>
          <t>FY2E</t>
        </is>
      </c>
      <c r="F4" s="14" t="inlineStr">
        <is>
          <t>FY3E</t>
        </is>
      </c>
      <c r="G4" s="14" t="inlineStr">
        <is>
          <t>FY4E</t>
        </is>
      </c>
      <c r="H4" s="14" t="inlineStr">
        <is>
          <t>FY5E</t>
        </is>
      </c>
    </row>
    <row r="5">
      <c r="B5" s="4" t="inlineStr">
        <is>
          <t>SENIOR TERM LOAN (SOFR + 350bps - BULLET - 7-YEAR TENOR)</t>
        </is>
      </c>
      <c r="C5" s="5" t="n"/>
      <c r="D5" s="5" t="n"/>
      <c r="E5" s="5" t="n"/>
      <c r="F5" s="5" t="n"/>
      <c r="G5" s="5" t="n"/>
      <c r="H5" s="5" t="n"/>
      <c r="I5" s="5" t="n"/>
    </row>
    <row r="6">
      <c r="B6" s="6" t="inlineStr">
        <is>
          <t>Opening balance</t>
        </is>
      </c>
      <c r="D6" s="30">
        <f>C8</f>
        <v/>
      </c>
      <c r="E6" s="30">
        <f>D8</f>
        <v/>
      </c>
      <c r="F6" s="30">
        <f>E8</f>
        <v/>
      </c>
      <c r="G6" s="30">
        <f>F8</f>
        <v/>
      </c>
      <c r="H6" s="30">
        <f>G8</f>
        <v/>
      </c>
    </row>
    <row r="7">
      <c r="B7" s="6" t="inlineStr">
        <is>
          <t>Less: amortisation / cash sweep (bullet, none)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</row>
    <row r="8">
      <c r="B8" s="17" t="inlineStr">
        <is>
          <t>Closing balance</t>
        </is>
      </c>
      <c r="C8" s="33">
        <f>'Sources &amp; Uses'!$C$15</f>
        <v/>
      </c>
      <c r="D8" s="28">
        <f>D6-D7</f>
        <v/>
      </c>
      <c r="E8" s="28">
        <f>E6-E7</f>
        <v/>
      </c>
      <c r="F8" s="28">
        <f>F6-F7</f>
        <v/>
      </c>
      <c r="G8" s="28">
        <f>G6-G7</f>
        <v/>
      </c>
      <c r="H8" s="28">
        <f>H6-H7</f>
        <v/>
      </c>
    </row>
    <row r="9">
      <c r="B9" s="6" t="inlineStr">
        <is>
          <t>All-in interest rate</t>
        </is>
      </c>
      <c r="D9" s="11">
        <f>Assumptions!$E$31</f>
        <v/>
      </c>
      <c r="E9" s="11">
        <f>Assumptions!$E$31</f>
        <v/>
      </c>
      <c r="F9" s="11">
        <f>Assumptions!$E$31</f>
        <v/>
      </c>
      <c r="G9" s="11">
        <f>Assumptions!$E$31</f>
        <v/>
      </c>
      <c r="H9" s="11">
        <f>Assumptions!$E$31</f>
        <v/>
      </c>
    </row>
    <row r="10">
      <c r="B10" s="6" t="inlineStr">
        <is>
          <t>Interest expense (rate x opening balance)</t>
        </is>
      </c>
      <c r="D10" s="30">
        <f>D9*D6</f>
        <v/>
      </c>
      <c r="E10" s="30">
        <f>E9*E6</f>
        <v/>
      </c>
      <c r="F10" s="30">
        <f>F9*F6</f>
        <v/>
      </c>
      <c r="G10" s="30">
        <f>G9*G6</f>
        <v/>
      </c>
      <c r="H10" s="30">
        <f>H9*H6</f>
        <v/>
      </c>
    </row>
    <row r="12">
      <c r="B12" s="4" t="inlineStr">
        <is>
          <t>MEZZANINE NOTES (SOFR + 700bps - BULLET - 8-YEAR TENOR)</t>
        </is>
      </c>
      <c r="C12" s="5" t="n"/>
      <c r="D12" s="5" t="n"/>
      <c r="E12" s="5" t="n"/>
      <c r="F12" s="5" t="n"/>
      <c r="G12" s="5" t="n"/>
      <c r="H12" s="5" t="n"/>
      <c r="I12" s="5" t="n"/>
    </row>
    <row r="13">
      <c r="B13" s="6" t="inlineStr">
        <is>
          <t>Opening balance</t>
        </is>
      </c>
      <c r="D13" s="30">
        <f>C15</f>
        <v/>
      </c>
      <c r="E13" s="30">
        <f>D15</f>
        <v/>
      </c>
      <c r="F13" s="30">
        <f>E15</f>
        <v/>
      </c>
      <c r="G13" s="30">
        <f>F15</f>
        <v/>
      </c>
      <c r="H13" s="30">
        <f>G15</f>
        <v/>
      </c>
    </row>
    <row r="14">
      <c r="B14" s="6" t="inlineStr">
        <is>
          <t>Less: amortisation / cash sweep (bullet, none)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</row>
    <row r="15">
      <c r="B15" s="17" t="inlineStr">
        <is>
          <t>Closing balance</t>
        </is>
      </c>
      <c r="C15" s="33">
        <f>'Sources &amp; Uses'!$C$16</f>
        <v/>
      </c>
      <c r="D15" s="28">
        <f>D13-D14</f>
        <v/>
      </c>
      <c r="E15" s="28">
        <f>E13-E14</f>
        <v/>
      </c>
      <c r="F15" s="28">
        <f>F13-F14</f>
        <v/>
      </c>
      <c r="G15" s="28">
        <f>G13-G14</f>
        <v/>
      </c>
      <c r="H15" s="28">
        <f>H13-H14</f>
        <v/>
      </c>
    </row>
    <row r="16">
      <c r="B16" s="6" t="inlineStr">
        <is>
          <t>All-in interest rate</t>
        </is>
      </c>
      <c r="D16" s="11">
        <f>Assumptions!$E$32</f>
        <v/>
      </c>
      <c r="E16" s="11">
        <f>Assumptions!$E$32</f>
        <v/>
      </c>
      <c r="F16" s="11">
        <f>Assumptions!$E$32</f>
        <v/>
      </c>
      <c r="G16" s="11">
        <f>Assumptions!$E$32</f>
        <v/>
      </c>
      <c r="H16" s="11">
        <f>Assumptions!$E$32</f>
        <v/>
      </c>
    </row>
    <row r="17">
      <c r="B17" s="6" t="inlineStr">
        <is>
          <t>Interest expense (rate x opening balance)</t>
        </is>
      </c>
      <c r="D17" s="30">
        <f>D16*D13</f>
        <v/>
      </c>
      <c r="E17" s="30">
        <f>E16*E13</f>
        <v/>
      </c>
      <c r="F17" s="30">
        <f>F16*F13</f>
        <v/>
      </c>
      <c r="G17" s="30">
        <f>G16*G13</f>
        <v/>
      </c>
      <c r="H17" s="30">
        <f>H16*H13</f>
        <v/>
      </c>
    </row>
    <row r="19">
      <c r="B19" s="4" t="inlineStr">
        <is>
          <t>TOTALS &amp; CREDIT STATISTICS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B20" s="17" t="inlineStr">
        <is>
          <t>Total debt - closing balance</t>
        </is>
      </c>
      <c r="C20" s="18">
        <f>C8+C15</f>
        <v/>
      </c>
      <c r="D20" s="18">
        <f>D8+D15</f>
        <v/>
      </c>
      <c r="E20" s="18">
        <f>E8+E15</f>
        <v/>
      </c>
      <c r="F20" s="18">
        <f>F8+F15</f>
        <v/>
      </c>
      <c r="G20" s="18">
        <f>G8+G15</f>
        <v/>
      </c>
      <c r="H20" s="18">
        <f>H8+H15</f>
        <v/>
      </c>
    </row>
    <row r="21">
      <c r="B21" s="17" t="inlineStr">
        <is>
          <t>Total cash interest expense</t>
        </is>
      </c>
      <c r="D21" s="18">
        <f>D10+D17</f>
        <v/>
      </c>
      <c r="E21" s="18">
        <f>E10+E17</f>
        <v/>
      </c>
      <c r="F21" s="18">
        <f>F10+F17</f>
        <v/>
      </c>
      <c r="G21" s="18">
        <f>G10+G17</f>
        <v/>
      </c>
      <c r="H21" s="18">
        <f>H10+H17</f>
        <v/>
      </c>
    </row>
    <row r="22">
      <c r="B22" s="6" t="inlineStr">
        <is>
          <t>Memo: closing cash (from operating model)</t>
        </is>
      </c>
      <c r="D22" s="7">
        <f>'Operating Model'!D25</f>
        <v/>
      </c>
      <c r="E22" s="7">
        <f>'Operating Model'!E25</f>
        <v/>
      </c>
      <c r="F22" s="7">
        <f>'Operating Model'!F25</f>
        <v/>
      </c>
      <c r="G22" s="7">
        <f>'Operating Model'!G25</f>
        <v/>
      </c>
      <c r="H22" s="7">
        <f>'Operating Model'!H25</f>
        <v/>
      </c>
    </row>
    <row r="23">
      <c r="B23" s="6" t="inlineStr">
        <is>
          <t>Net debt (total debt - cash)</t>
        </is>
      </c>
      <c r="D23" s="30">
        <f>D20-D22</f>
        <v/>
      </c>
      <c r="E23" s="30">
        <f>E20-E22</f>
        <v/>
      </c>
      <c r="F23" s="30">
        <f>F20-F22</f>
        <v/>
      </c>
      <c r="G23" s="30">
        <f>G20-G22</f>
        <v/>
      </c>
      <c r="H23" s="30">
        <f>H20-H22</f>
        <v/>
      </c>
    </row>
    <row r="24">
      <c r="B24" s="6" t="inlineStr">
        <is>
          <t>Gross leverage: total debt / EBITDA</t>
        </is>
      </c>
      <c r="D24" s="9">
        <f>D20/'Operating Model'!D9</f>
        <v/>
      </c>
      <c r="E24" s="9">
        <f>E20/'Operating Model'!E9</f>
        <v/>
      </c>
      <c r="F24" s="9">
        <f>F20/'Operating Model'!F9</f>
        <v/>
      </c>
      <c r="G24" s="9">
        <f>G20/'Operating Model'!G9</f>
        <v/>
      </c>
      <c r="H24" s="9">
        <f>H20/'Operating Model'!H9</f>
        <v/>
      </c>
    </row>
    <row r="25">
      <c r="B25" s="6" t="inlineStr">
        <is>
          <t>Net leverage: net debt / EBITDA</t>
        </is>
      </c>
      <c r="D25" s="9">
        <f>D23/'Operating Model'!D9</f>
        <v/>
      </c>
      <c r="E25" s="9">
        <f>E23/'Operating Model'!E9</f>
        <v/>
      </c>
      <c r="F25" s="9">
        <f>F23/'Operating Model'!F9</f>
        <v/>
      </c>
      <c r="G25" s="9">
        <f>G23/'Operating Model'!G9</f>
        <v/>
      </c>
      <c r="H25" s="9">
        <f>H23/'Operating Model'!H9</f>
        <v/>
      </c>
    </row>
    <row r="26">
      <c r="B26" s="6" t="inlineStr">
        <is>
          <t>Interest coverage: EBITDA / cash interest</t>
        </is>
      </c>
      <c r="D26" s="9">
        <f>'Operating Model'!D9/D21</f>
        <v/>
      </c>
      <c r="E26" s="9">
        <f>'Operating Model'!E9/E21</f>
        <v/>
      </c>
      <c r="F26" s="9">
        <f>'Operating Model'!F9/F21</f>
        <v/>
      </c>
      <c r="G26" s="9">
        <f>'Operating Model'!G9/G21</f>
        <v/>
      </c>
      <c r="H26" s="9">
        <f>'Operating Model'!H9/H21</f>
        <v/>
      </c>
    </row>
    <row r="28">
      <c r="B28" s="6" t="inlineStr">
        <is>
          <t>Check: debt outstanding at exit = face value at close</t>
        </is>
      </c>
      <c r="C28" s="31">
        <f>H20-'Sources &amp; Uses'!$C$17</f>
        <v/>
      </c>
      <c r="D28" s="14">
        <f>IF(ABS(C28)&lt;0.000001,"OK","ERROR")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6100"/>
    <outlinePr summaryBelow="1" summaryRight="1"/>
    <pageSetUpPr fitToPage="1"/>
  </sheetPr>
  <dimension ref="A1:I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SPONSOR RETURNS — IRR &amp; MoIC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USD millions - exit at end of projection year 5</t>
        </is>
      </c>
    </row>
    <row r="4">
      <c r="B4" s="4" t="inlineStr">
        <is>
          <t>EXIT VALUATION (END OF YEAR 5)</t>
        </is>
      </c>
      <c r="C4" s="5" t="n"/>
      <c r="D4" s="5" t="n"/>
      <c r="E4" s="5" t="n"/>
      <c r="F4" s="5" t="n"/>
      <c r="G4" s="5" t="n"/>
      <c r="H4" s="5" t="n"/>
      <c r="I4" s="5" t="n"/>
    </row>
    <row r="5">
      <c r="B5" s="6" t="inlineStr">
        <is>
          <t>Exit year (end of projection year)</t>
        </is>
      </c>
      <c r="C5" s="10">
        <f>Assumptions!$C$46</f>
        <v/>
      </c>
    </row>
    <row r="6">
      <c r="B6" s="6" t="inlineStr">
        <is>
          <t>Exit EBITDA - projected Year-5 (NOT entry LTM)</t>
        </is>
      </c>
      <c r="C6" s="7">
        <f>'Operating Model'!$H$9</f>
        <v/>
      </c>
    </row>
    <row r="7">
      <c r="B7" s="6" t="inlineStr">
        <is>
          <t>Exit EV / EBITDA multiple (strategic sale)</t>
        </is>
      </c>
      <c r="C7" s="8">
        <f>Assumptions!$C$47</f>
        <v/>
      </c>
    </row>
    <row r="8">
      <c r="B8" s="17" t="inlineStr">
        <is>
          <t>Exit enterprise value</t>
        </is>
      </c>
      <c r="C8" s="18">
        <f>C6*C7</f>
        <v/>
      </c>
    </row>
    <row r="9">
      <c r="B9" s="6" t="inlineStr">
        <is>
          <t>Less: debt outstanding at exit (face, bullet)</t>
        </is>
      </c>
      <c r="C9" s="7">
        <f>-'Debt Schedule'!$H$20</f>
        <v/>
      </c>
    </row>
    <row r="10">
      <c r="B10" s="17" t="inlineStr">
        <is>
          <t>Exit equity proceeds</t>
        </is>
      </c>
      <c r="C10" s="28">
        <f>C8+C9</f>
        <v/>
      </c>
    </row>
    <row r="11">
      <c r="B11" s="6" t="inlineStr">
        <is>
          <t>Memo: surplus cash at exit (EXCLUDED from bridge per convention)</t>
        </is>
      </c>
      <c r="C11" s="34">
        <f>'Operating Model'!$H$25</f>
        <v/>
      </c>
    </row>
    <row r="13">
      <c r="B13" s="4" t="inlineStr">
        <is>
          <t>SPONSOR CASH FLOW SERIES (NO INTERIM DISTRIBUTIONS)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B14" s="6" t="inlineStr">
        <is>
          <t>Year</t>
        </is>
      </c>
      <c r="C14" s="35" t="n">
        <v>0</v>
      </c>
      <c r="D14" s="35" t="n">
        <v>1</v>
      </c>
      <c r="E14" s="35" t="n">
        <v>2</v>
      </c>
      <c r="F14" s="35" t="n">
        <v>3</v>
      </c>
      <c r="G14" s="35" t="n">
        <v>4</v>
      </c>
      <c r="H14" s="35" t="n">
        <v>5</v>
      </c>
    </row>
    <row r="15">
      <c r="B15" s="17" t="inlineStr">
        <is>
          <t>Sponsor cash flow</t>
        </is>
      </c>
      <c r="C15" s="33">
        <f>-'Sources &amp; Uses'!$C$18</f>
        <v/>
      </c>
      <c r="D15" s="15" t="n">
        <v>0</v>
      </c>
      <c r="E15" s="15" t="n">
        <v>0</v>
      </c>
      <c r="F15" s="15" t="n">
        <v>0</v>
      </c>
      <c r="G15" s="15" t="n">
        <v>0</v>
      </c>
      <c r="H15" s="18">
        <f>C10</f>
        <v/>
      </c>
    </row>
    <row r="17">
      <c r="B17" s="4" t="inlineStr">
        <is>
          <t>HEADLINE OUTPUTS</t>
        </is>
      </c>
      <c r="C17" s="5" t="n"/>
      <c r="D17" s="5" t="n"/>
      <c r="E17" s="5" t="n"/>
      <c r="F17" s="5" t="n"/>
      <c r="G17" s="5" t="n"/>
      <c r="H17" s="5" t="n"/>
      <c r="I17" s="5" t="n"/>
    </row>
    <row r="18">
      <c r="B18" s="17" t="inlineStr">
        <is>
          <t>sponsor_irr</t>
        </is>
      </c>
      <c r="C18" s="36">
        <f>IRR(C15:H15)</f>
        <v/>
      </c>
      <c r="D18" s="37" t="inlineStr">
        <is>
          <t>Sponsor IRR (annual, decimal)</t>
        </is>
      </c>
    </row>
    <row r="19">
      <c r="B19" s="17" t="inlineStr">
        <is>
          <t>sponsor_moic</t>
        </is>
      </c>
      <c r="C19" s="38">
        <f>C10/'Sources &amp; Uses'!$C$18</f>
        <v/>
      </c>
      <c r="D19" s="37" t="inlineStr">
        <is>
          <t>Exit equity proceeds / sponsor equity cheque</t>
        </is>
      </c>
    </row>
    <row r="20">
      <c r="B20" s="17" t="inlineStr">
        <is>
          <t>exit_equity_proceeds</t>
        </is>
      </c>
      <c r="C20" s="18">
        <f>C10</f>
        <v/>
      </c>
      <c r="D20" s="37" t="inlineStr">
        <is>
          <t>Exit EV less debt outstanding at exit ($m)</t>
        </is>
      </c>
    </row>
    <row r="21">
      <c r="B21" s="17" t="inlineStr">
        <is>
          <t>sponsor_equity_cheque</t>
        </is>
      </c>
      <c r="C21" s="33">
        <f>'Sources &amp; Uses'!$C$18</f>
        <v/>
      </c>
      <c r="D21" s="37" t="inlineStr">
        <is>
          <t>Sources &amp; uses balancing plug ($m)</t>
        </is>
      </c>
    </row>
    <row r="23">
      <c r="B23" s="4" t="inlineStr">
        <is>
          <t>CHECKS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B24" s="6" t="inlineStr">
        <is>
          <t>IRR cross-check: MoIC^(1/5)-1 minus IRR (must be 0)</t>
        </is>
      </c>
      <c r="C24" s="39">
        <f>(C19^(1/Assumptions!$C$46)-1)-C18</f>
        <v/>
      </c>
      <c r="D24" s="14">
        <f>IF(ABS(C24)&lt;0.000001,"OK","ERROR")</f>
        <v/>
      </c>
    </row>
    <row r="25">
      <c r="B25" s="6" t="inlineStr">
        <is>
          <t>Sources &amp; uses balance (must be 0)</t>
        </is>
      </c>
      <c r="C25" s="39">
        <f>'Sources &amp; Uses'!$C$19-'Sources &amp; Uses'!$C$11</f>
        <v/>
      </c>
      <c r="D25" s="14">
        <f>IF(ABS(C25)&lt;0.000001,"OK","ERROR")</f>
        <v/>
      </c>
    </row>
    <row r="26">
      <c r="B26" s="6" t="inlineStr">
        <is>
          <t>Exit debt equals face value at close (must be 0)</t>
        </is>
      </c>
      <c r="C26" s="39">
        <f>'Debt Schedule'!$H$20-'Sources &amp; Uses'!$C$17</f>
        <v/>
      </c>
      <c r="D26" s="14">
        <f>IF(ABS(C26)&lt;0.000001,"OK","ERROR")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n"/>
      <c r="B1" s="2" t="inlineStr">
        <is>
          <t>SENSITIVITY — EXIT MULTIPLE x REVENUE GROWTH SHIFT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Live formulas - growth shift applied uniformly to all five projection years - base case highlighted</t>
        </is>
      </c>
    </row>
    <row r="4">
      <c r="B4" s="4" t="inlineStr">
        <is>
          <t>HELPER: YEAR-5 EBITDA AT UNIFORM GROWTH SHIFT ($m)</t>
        </is>
      </c>
      <c r="C4" s="5" t="n"/>
      <c r="D4" s="5" t="n"/>
      <c r="E4" s="5" t="n"/>
      <c r="F4" s="5" t="n"/>
      <c r="G4" s="5" t="n"/>
      <c r="H4" s="5" t="n"/>
      <c r="I4" s="5" t="n"/>
    </row>
    <row r="5">
      <c r="B5" s="6" t="inlineStr">
        <is>
          <t>Uniform shift to annual revenue growth</t>
        </is>
      </c>
      <c r="C5" s="40" t="n">
        <v>-0.02</v>
      </c>
      <c r="D5" s="40" t="n">
        <v>-0.01</v>
      </c>
      <c r="E5" s="40" t="n">
        <v>0</v>
      </c>
      <c r="F5" s="40" t="n">
        <v>0.01</v>
      </c>
      <c r="G5" s="40" t="n">
        <v>0.02</v>
      </c>
    </row>
    <row r="6">
      <c r="B6" s="6" t="inlineStr">
        <is>
          <t>Year-5 EBITDA (Year-5 margin held at plan)</t>
        </is>
      </c>
      <c r="C6" s="30">
        <f>Assumptions!$E$6*(1+Assumptions!$C$37+C$5)*(1+Assumptions!$D$37+C$5)*(1+Assumptions!$E$37+C$5)*(1+Assumptions!$F$37+C$5)*(1+Assumptions!$G$37+C$5)*Assumptions!$G$38</f>
        <v/>
      </c>
      <c r="D6" s="30">
        <f>Assumptions!$E$6*(1+Assumptions!$C$37+D$5)*(1+Assumptions!$D$37+D$5)*(1+Assumptions!$E$37+D$5)*(1+Assumptions!$F$37+D$5)*(1+Assumptions!$G$37+D$5)*Assumptions!$G$38</f>
        <v/>
      </c>
      <c r="E6" s="30">
        <f>Assumptions!$E$6*(1+Assumptions!$C$37+E$5)*(1+Assumptions!$D$37+E$5)*(1+Assumptions!$E$37+E$5)*(1+Assumptions!$F$37+E$5)*(1+Assumptions!$G$37+E$5)*Assumptions!$G$38</f>
        <v/>
      </c>
      <c r="F6" s="30">
        <f>Assumptions!$E$6*(1+Assumptions!$C$37+F$5)*(1+Assumptions!$D$37+F$5)*(1+Assumptions!$E$37+F$5)*(1+Assumptions!$F$37+F$5)*(1+Assumptions!$G$37+F$5)*Assumptions!$G$38</f>
        <v/>
      </c>
      <c r="G6" s="30">
        <f>Assumptions!$E$6*(1+Assumptions!$C$37+G$5)*(1+Assumptions!$D$37+G$5)*(1+Assumptions!$E$37+G$5)*(1+Assumptions!$F$37+G$5)*(1+Assumptions!$G$37+G$5)*Assumptions!$G$38</f>
        <v/>
      </c>
    </row>
    <row r="8">
      <c r="B8" s="4" t="inlineStr">
        <is>
          <t>SPONSOR MoIC (x)</t>
        </is>
      </c>
      <c r="C8" s="5" t="n"/>
      <c r="D8" s="5" t="n"/>
      <c r="E8" s="5" t="n"/>
      <c r="F8" s="5" t="n"/>
      <c r="G8" s="5" t="n"/>
      <c r="H8" s="5" t="n"/>
      <c r="I8" s="5" t="n"/>
    </row>
    <row r="9">
      <c r="B9" s="41" t="inlineStr">
        <is>
          <t>Exit EV/EBITDA (rows) vs growth shift (cols)</t>
        </is>
      </c>
      <c r="C9" s="42">
        <f>C$5</f>
        <v/>
      </c>
      <c r="D9" s="42">
        <f>D$5</f>
        <v/>
      </c>
      <c r="E9" s="42">
        <f>E$5</f>
        <v/>
      </c>
      <c r="F9" s="42">
        <f>F$5</f>
        <v/>
      </c>
      <c r="G9" s="42">
        <f>G$5</f>
        <v/>
      </c>
    </row>
    <row r="10">
      <c r="B10" s="43" t="n">
        <v>7</v>
      </c>
      <c r="C10" s="44">
        <f>($B10*C$6-'Debt Schedule'!$H$20)/'Sources &amp; Uses'!$C$18</f>
        <v/>
      </c>
      <c r="D10" s="44">
        <f>($B10*D$6-'Debt Schedule'!$H$20)/'Sources &amp; Uses'!$C$18</f>
        <v/>
      </c>
      <c r="E10" s="44">
        <f>($B10*E$6-'Debt Schedule'!$H$20)/'Sources &amp; Uses'!$C$18</f>
        <v/>
      </c>
      <c r="F10" s="44">
        <f>($B10*F$6-'Debt Schedule'!$H$20)/'Sources &amp; Uses'!$C$18</f>
        <v/>
      </c>
      <c r="G10" s="44">
        <f>($B10*G$6-'Debt Schedule'!$H$20)/'Sources &amp; Uses'!$C$18</f>
        <v/>
      </c>
    </row>
    <row r="11">
      <c r="B11" s="43" t="n">
        <v>7.5</v>
      </c>
      <c r="C11" s="44">
        <f>($B11*C$6-'Debt Schedule'!$H$20)/'Sources &amp; Uses'!$C$18</f>
        <v/>
      </c>
      <c r="D11" s="44">
        <f>($B11*D$6-'Debt Schedule'!$H$20)/'Sources &amp; Uses'!$C$18</f>
        <v/>
      </c>
      <c r="E11" s="44">
        <f>($B11*E$6-'Debt Schedule'!$H$20)/'Sources &amp; Uses'!$C$18</f>
        <v/>
      </c>
      <c r="F11" s="44">
        <f>($B11*F$6-'Debt Schedule'!$H$20)/'Sources &amp; Uses'!$C$18</f>
        <v/>
      </c>
      <c r="G11" s="44">
        <f>($B11*G$6-'Debt Schedule'!$H$20)/'Sources &amp; Uses'!$C$18</f>
        <v/>
      </c>
    </row>
    <row r="12">
      <c r="B12" s="43" t="n">
        <v>8</v>
      </c>
      <c r="C12" s="44">
        <f>($B12*C$6-'Debt Schedule'!$H$20)/'Sources &amp; Uses'!$C$18</f>
        <v/>
      </c>
      <c r="D12" s="44">
        <f>($B12*D$6-'Debt Schedule'!$H$20)/'Sources &amp; Uses'!$C$18</f>
        <v/>
      </c>
      <c r="E12" s="44">
        <f>($B12*E$6-'Debt Schedule'!$H$20)/'Sources &amp; Uses'!$C$18</f>
        <v/>
      </c>
      <c r="F12" s="44">
        <f>($B12*F$6-'Debt Schedule'!$H$20)/'Sources &amp; Uses'!$C$18</f>
        <v/>
      </c>
      <c r="G12" s="44">
        <f>($B12*G$6-'Debt Schedule'!$H$20)/'Sources &amp; Uses'!$C$18</f>
        <v/>
      </c>
    </row>
    <row r="13">
      <c r="B13" s="43" t="n">
        <v>8.5</v>
      </c>
      <c r="C13" s="44">
        <f>($B13*C$6-'Debt Schedule'!$H$20)/'Sources &amp; Uses'!$C$18</f>
        <v/>
      </c>
      <c r="D13" s="44">
        <f>($B13*D$6-'Debt Schedule'!$H$20)/'Sources &amp; Uses'!$C$18</f>
        <v/>
      </c>
      <c r="E13" s="44">
        <f>($B13*E$6-'Debt Schedule'!$H$20)/'Sources &amp; Uses'!$C$18</f>
        <v/>
      </c>
      <c r="F13" s="44">
        <f>($B13*F$6-'Debt Schedule'!$H$20)/'Sources &amp; Uses'!$C$18</f>
        <v/>
      </c>
      <c r="G13" s="44">
        <f>($B13*G$6-'Debt Schedule'!$H$20)/'Sources &amp; Uses'!$C$18</f>
        <v/>
      </c>
    </row>
    <row r="14">
      <c r="B14" s="43" t="n">
        <v>9</v>
      </c>
      <c r="C14" s="44">
        <f>($B14*C$6-'Debt Schedule'!$H$20)/'Sources &amp; Uses'!$C$18</f>
        <v/>
      </c>
      <c r="D14" s="44">
        <f>($B14*D$6-'Debt Schedule'!$H$20)/'Sources &amp; Uses'!$C$18</f>
        <v/>
      </c>
      <c r="E14" s="45">
        <f>($B14*E$6-'Debt Schedule'!$H$20)/'Sources &amp; Uses'!$C$18</f>
        <v/>
      </c>
      <c r="F14" s="44">
        <f>($B14*F$6-'Debt Schedule'!$H$20)/'Sources &amp; Uses'!$C$18</f>
        <v/>
      </c>
      <c r="G14" s="44">
        <f>($B14*G$6-'Debt Schedule'!$H$20)/'Sources &amp; Uses'!$C$18</f>
        <v/>
      </c>
    </row>
    <row r="15">
      <c r="B15" s="43" t="n">
        <v>9.5</v>
      </c>
      <c r="C15" s="44">
        <f>($B15*C$6-'Debt Schedule'!$H$20)/'Sources &amp; Uses'!$C$18</f>
        <v/>
      </c>
      <c r="D15" s="44">
        <f>($B15*D$6-'Debt Schedule'!$H$20)/'Sources &amp; Uses'!$C$18</f>
        <v/>
      </c>
      <c r="E15" s="44">
        <f>($B15*E$6-'Debt Schedule'!$H$20)/'Sources &amp; Uses'!$C$18</f>
        <v/>
      </c>
      <c r="F15" s="44">
        <f>($B15*F$6-'Debt Schedule'!$H$20)/'Sources &amp; Uses'!$C$18</f>
        <v/>
      </c>
      <c r="G15" s="44">
        <f>($B15*G$6-'Debt Schedule'!$H$20)/'Sources &amp; Uses'!$C$18</f>
        <v/>
      </c>
    </row>
    <row r="16">
      <c r="B16" s="43" t="n">
        <v>10</v>
      </c>
      <c r="C16" s="44">
        <f>($B16*C$6-'Debt Schedule'!$H$20)/'Sources &amp; Uses'!$C$18</f>
        <v/>
      </c>
      <c r="D16" s="44">
        <f>($B16*D$6-'Debt Schedule'!$H$20)/'Sources &amp; Uses'!$C$18</f>
        <v/>
      </c>
      <c r="E16" s="44">
        <f>($B16*E$6-'Debt Schedule'!$H$20)/'Sources &amp; Uses'!$C$18</f>
        <v/>
      </c>
      <c r="F16" s="44">
        <f>($B16*F$6-'Debt Schedule'!$H$20)/'Sources &amp; Uses'!$C$18</f>
        <v/>
      </c>
      <c r="G16" s="44">
        <f>($B16*G$6-'Debt Schedule'!$H$20)/'Sources &amp; Uses'!$C$18</f>
        <v/>
      </c>
    </row>
    <row r="17">
      <c r="B17" s="43" t="n">
        <v>10.5</v>
      </c>
      <c r="C17" s="44">
        <f>($B17*C$6-'Debt Schedule'!$H$20)/'Sources &amp; Uses'!$C$18</f>
        <v/>
      </c>
      <c r="D17" s="44">
        <f>($B17*D$6-'Debt Schedule'!$H$20)/'Sources &amp; Uses'!$C$18</f>
        <v/>
      </c>
      <c r="E17" s="44">
        <f>($B17*E$6-'Debt Schedule'!$H$20)/'Sources &amp; Uses'!$C$18</f>
        <v/>
      </c>
      <c r="F17" s="44">
        <f>($B17*F$6-'Debt Schedule'!$H$20)/'Sources &amp; Uses'!$C$18</f>
        <v/>
      </c>
      <c r="G17" s="44">
        <f>($B17*G$6-'Debt Schedule'!$H$20)/'Sources &amp; Uses'!$C$18</f>
        <v/>
      </c>
    </row>
    <row r="18">
      <c r="B18" s="43" t="n">
        <v>11</v>
      </c>
      <c r="C18" s="44">
        <f>($B18*C$6-'Debt Schedule'!$H$20)/'Sources &amp; Uses'!$C$18</f>
        <v/>
      </c>
      <c r="D18" s="44">
        <f>($B18*D$6-'Debt Schedule'!$H$20)/'Sources &amp; Uses'!$C$18</f>
        <v/>
      </c>
      <c r="E18" s="44">
        <f>($B18*E$6-'Debt Schedule'!$H$20)/'Sources &amp; Uses'!$C$18</f>
        <v/>
      </c>
      <c r="F18" s="44">
        <f>($B18*F$6-'Debt Schedule'!$H$20)/'Sources &amp; Uses'!$C$18</f>
        <v/>
      </c>
      <c r="G18" s="44">
        <f>($B18*G$6-'Debt Schedule'!$H$20)/'Sources &amp; Uses'!$C$18</f>
        <v/>
      </c>
    </row>
    <row r="20">
      <c r="B20" s="4" t="inlineStr">
        <is>
          <t>SPONSOR IRR (%)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B21" s="41" t="inlineStr">
        <is>
          <t>Exit EV/EBITDA (rows) vs growth shift (cols)</t>
        </is>
      </c>
      <c r="C21" s="42">
        <f>C$5</f>
        <v/>
      </c>
      <c r="D21" s="42">
        <f>D$5</f>
        <v/>
      </c>
      <c r="E21" s="42">
        <f>E$5</f>
        <v/>
      </c>
      <c r="F21" s="42">
        <f>F$5</f>
        <v/>
      </c>
      <c r="G21" s="42">
        <f>G$5</f>
        <v/>
      </c>
    </row>
    <row r="22">
      <c r="B22" s="46">
        <f>$B10</f>
        <v/>
      </c>
      <c r="C22" s="47">
        <f>C10^(1/Assumptions!$C$46)-1</f>
        <v/>
      </c>
      <c r="D22" s="47">
        <f>D10^(1/Assumptions!$C$46)-1</f>
        <v/>
      </c>
      <c r="E22" s="47">
        <f>E10^(1/Assumptions!$C$46)-1</f>
        <v/>
      </c>
      <c r="F22" s="47">
        <f>F10^(1/Assumptions!$C$46)-1</f>
        <v/>
      </c>
      <c r="G22" s="47">
        <f>G10^(1/Assumptions!$C$46)-1</f>
        <v/>
      </c>
    </row>
    <row r="23">
      <c r="B23" s="46">
        <f>$B11</f>
        <v/>
      </c>
      <c r="C23" s="47">
        <f>C11^(1/Assumptions!$C$46)-1</f>
        <v/>
      </c>
      <c r="D23" s="47">
        <f>D11^(1/Assumptions!$C$46)-1</f>
        <v/>
      </c>
      <c r="E23" s="47">
        <f>E11^(1/Assumptions!$C$46)-1</f>
        <v/>
      </c>
      <c r="F23" s="47">
        <f>F11^(1/Assumptions!$C$46)-1</f>
        <v/>
      </c>
      <c r="G23" s="47">
        <f>G11^(1/Assumptions!$C$46)-1</f>
        <v/>
      </c>
    </row>
    <row r="24">
      <c r="B24" s="46">
        <f>$B12</f>
        <v/>
      </c>
      <c r="C24" s="47">
        <f>C12^(1/Assumptions!$C$46)-1</f>
        <v/>
      </c>
      <c r="D24" s="47">
        <f>D12^(1/Assumptions!$C$46)-1</f>
        <v/>
      </c>
      <c r="E24" s="47">
        <f>E12^(1/Assumptions!$C$46)-1</f>
        <v/>
      </c>
      <c r="F24" s="47">
        <f>F12^(1/Assumptions!$C$46)-1</f>
        <v/>
      </c>
      <c r="G24" s="47">
        <f>G12^(1/Assumptions!$C$46)-1</f>
        <v/>
      </c>
    </row>
    <row r="25">
      <c r="B25" s="46">
        <f>$B13</f>
        <v/>
      </c>
      <c r="C25" s="47">
        <f>C13^(1/Assumptions!$C$46)-1</f>
        <v/>
      </c>
      <c r="D25" s="47">
        <f>D13^(1/Assumptions!$C$46)-1</f>
        <v/>
      </c>
      <c r="E25" s="47">
        <f>E13^(1/Assumptions!$C$46)-1</f>
        <v/>
      </c>
      <c r="F25" s="47">
        <f>F13^(1/Assumptions!$C$46)-1</f>
        <v/>
      </c>
      <c r="G25" s="47">
        <f>G13^(1/Assumptions!$C$46)-1</f>
        <v/>
      </c>
    </row>
    <row r="26">
      <c r="B26" s="46">
        <f>$B14</f>
        <v/>
      </c>
      <c r="C26" s="47">
        <f>C14^(1/Assumptions!$C$46)-1</f>
        <v/>
      </c>
      <c r="D26" s="47">
        <f>D14^(1/Assumptions!$C$46)-1</f>
        <v/>
      </c>
      <c r="E26" s="48">
        <f>E14^(1/Assumptions!$C$46)-1</f>
        <v/>
      </c>
      <c r="F26" s="47">
        <f>F14^(1/Assumptions!$C$46)-1</f>
        <v/>
      </c>
      <c r="G26" s="47">
        <f>G14^(1/Assumptions!$C$46)-1</f>
        <v/>
      </c>
    </row>
    <row r="27">
      <c r="B27" s="46">
        <f>$B15</f>
        <v/>
      </c>
      <c r="C27" s="47">
        <f>C15^(1/Assumptions!$C$46)-1</f>
        <v/>
      </c>
      <c r="D27" s="47">
        <f>D15^(1/Assumptions!$C$46)-1</f>
        <v/>
      </c>
      <c r="E27" s="47">
        <f>E15^(1/Assumptions!$C$46)-1</f>
        <v/>
      </c>
      <c r="F27" s="47">
        <f>F15^(1/Assumptions!$C$46)-1</f>
        <v/>
      </c>
      <c r="G27" s="47">
        <f>G15^(1/Assumptions!$C$46)-1</f>
        <v/>
      </c>
    </row>
    <row r="28">
      <c r="B28" s="46">
        <f>$B16</f>
        <v/>
      </c>
      <c r="C28" s="47">
        <f>C16^(1/Assumptions!$C$46)-1</f>
        <v/>
      </c>
      <c r="D28" s="47">
        <f>D16^(1/Assumptions!$C$46)-1</f>
        <v/>
      </c>
      <c r="E28" s="47">
        <f>E16^(1/Assumptions!$C$46)-1</f>
        <v/>
      </c>
      <c r="F28" s="47">
        <f>F16^(1/Assumptions!$C$46)-1</f>
        <v/>
      </c>
      <c r="G28" s="47">
        <f>G16^(1/Assumptions!$C$46)-1</f>
        <v/>
      </c>
    </row>
    <row r="29">
      <c r="B29" s="46">
        <f>$B17</f>
        <v/>
      </c>
      <c r="C29" s="47">
        <f>C17^(1/Assumptions!$C$46)-1</f>
        <v/>
      </c>
      <c r="D29" s="47">
        <f>D17^(1/Assumptions!$C$46)-1</f>
        <v/>
      </c>
      <c r="E29" s="47">
        <f>E17^(1/Assumptions!$C$46)-1</f>
        <v/>
      </c>
      <c r="F29" s="47">
        <f>F17^(1/Assumptions!$C$46)-1</f>
        <v/>
      </c>
      <c r="G29" s="47">
        <f>G17^(1/Assumptions!$C$46)-1</f>
        <v/>
      </c>
    </row>
    <row r="30">
      <c r="B30" s="46">
        <f>$B18</f>
        <v/>
      </c>
      <c r="C30" s="47">
        <f>C18^(1/Assumptions!$C$46)-1</f>
        <v/>
      </c>
      <c r="D30" s="47">
        <f>D18^(1/Assumptions!$C$46)-1</f>
        <v/>
      </c>
      <c r="E30" s="47">
        <f>E18^(1/Assumptions!$C$46)-1</f>
        <v/>
      </c>
      <c r="F30" s="47">
        <f>F18^(1/Assumptions!$C$46)-1</f>
        <v/>
      </c>
      <c r="G30" s="47">
        <f>G18^(1/Assumptions!$C$46)-1</f>
        <v/>
      </c>
    </row>
    <row r="33">
      <c r="B33" s="4" t="inlineStr">
        <is>
          <t>CHECKS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B34" s="6" t="inlineStr">
        <is>
          <t>Base-case MoIC ties to Returns sheet (must be 0)</t>
        </is>
      </c>
      <c r="C34" s="39">
        <f>E14-Returns!$C$19</f>
        <v/>
      </c>
      <c r="D34" s="14">
        <f>IF(ABS(C34)&lt;0.000001,"OK","ERROR")</f>
        <v/>
      </c>
    </row>
    <row r="35">
      <c r="B35" s="6" t="inlineStr">
        <is>
          <t>Base-case IRR ties to Returns sheet (must be 0)</t>
        </is>
      </c>
      <c r="C35" s="39">
        <f>E26-Returns!$C$18</f>
        <v/>
      </c>
      <c r="D35" s="14">
        <f>IF(ABS(C35)&lt;0.000001,"OK","ERROR")</f>
        <v/>
      </c>
    </row>
    <row r="36">
      <c r="B36" s="3" t="inlineStr">
        <is>
          <t>IRR = MoIC^(1/5)-1 in closed form because the sponsor receives no interim distributions (single outflow at close, single inflow at exit).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Financial modeling agent</dc:creator>
  <dc:title xmlns:dc="http://purl.org/dc/elements/1.1/">BM-LBO-001 Sponsor LBO — SaaSCo (synthetic)</dc:title>
  <dcterms:created xmlns:dcterms="http://purl.org/dc/terms/" xmlns:xsi="http://www.w3.org/2001/XMLSchema-instance" xsi:type="dcterms:W3CDTF">2026-06-12T15:19:58Z</dcterms:created>
  <dcterms:modified xmlns:dcterms="http://purl.org/dc/terms/" xmlns:xsi="http://www.w3.org/2001/XMLSchema-instance" xsi:type="dcterms:W3CDTF">2026-06-12T15:19:58Z</dcterms:modified>
</cp:coreProperties>
</file>