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Sensitivity" sheetId="3" state="visible" r:id="rId3"/>
  </sheets>
  <definedNames>
    <definedName name="_xlnm.Print_Area" localSheetId="0">'Assumptions'!$A$1:$H$32</definedName>
    <definedName name="_xlnm.Print_Area" localSheetId="1">'DCF'!$A$1:$H$68</definedName>
    <definedName name="_xlnm.Print_Area" localSheetId="2">'Sensitivity'!$A$1:$H$21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;[Red](#,##0.0)"/>
    <numFmt numFmtId="165" formatCode="$0.00"/>
    <numFmt numFmtId="166" formatCode="0.0%"/>
    <numFmt numFmtId="167" formatCode="#,##0.00;[Red](#,##0.00)"/>
    <numFmt numFmtId="168" formatCode="0.000%"/>
    <numFmt numFmtId="169" formatCode="0.0000"/>
    <numFmt numFmtId="170" formatCode="0.0%;[Red](0.0%)"/>
    <numFmt numFmtId="171" formatCode="0.00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6" fillId="2" borderId="0" applyAlignment="1" pivotButton="0" quotePrefix="0" xfId="0">
      <alignment horizontal="center"/>
    </xf>
    <xf numFmtId="166" fontId="5" fillId="0" borderId="0" applyAlignment="1" pivotButton="0" quotePrefix="0" xfId="0">
      <alignment horizontal="right"/>
    </xf>
    <xf numFmtId="10" fontId="5" fillId="0" borderId="0" pivotButton="0" quotePrefix="0" xfId="0"/>
    <xf numFmtId="167" fontId="5" fillId="0" borderId="0" pivotButton="0" quotePrefix="0" xfId="0"/>
    <xf numFmtId="0" fontId="6" fillId="2" borderId="0" pivotButton="0" quotePrefix="0" xfId="0"/>
    <xf numFmtId="10" fontId="7" fillId="0" borderId="0" pivotButton="0" quotePrefix="0" xfId="0"/>
    <xf numFmtId="167" fontId="7" fillId="0" borderId="0" pivotButton="0" quotePrefix="0" xfId="0"/>
    <xf numFmtId="10" fontId="3" fillId="0" borderId="0" pivotButton="0" quotePrefix="0" xfId="0"/>
    <xf numFmtId="166" fontId="7" fillId="0" borderId="0" pivotButton="0" quotePrefix="0" xfId="0"/>
    <xf numFmtId="168" fontId="3" fillId="0" borderId="0" pivotButton="0" quotePrefix="0" xfId="0"/>
    <xf numFmtId="166" fontId="4" fillId="0" borderId="0" pivotButton="0" quotePrefix="0" xfId="0"/>
    <xf numFmtId="0" fontId="3" fillId="0" borderId="0" pivotButton="0" quotePrefix="0" xfId="0"/>
    <xf numFmtId="168" fontId="3" fillId="4" borderId="1" pivotButton="0" quotePrefix="0" xfId="0"/>
    <xf numFmtId="166" fontId="7" fillId="0" borderId="0" applyAlignment="1" pivotButton="0" quotePrefix="0" xfId="0">
      <alignment horizontal="right"/>
    </xf>
    <xf numFmtId="164" fontId="7" fillId="0" borderId="0" pivotButton="0" quotePrefix="0" xfId="0"/>
    <xf numFmtId="164" fontId="4" fillId="0" borderId="0" pivotButton="0" quotePrefix="0" xfId="0"/>
    <xf numFmtId="164" fontId="3" fillId="0" borderId="2" pivotButton="0" quotePrefix="0" xfId="0"/>
    <xf numFmtId="1" fontId="5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169" fontId="4" fillId="0" borderId="0" pivotButton="0" quotePrefix="0" xfId="0"/>
    <xf numFmtId="164" fontId="3" fillId="0" borderId="0" pivotButton="0" quotePrefix="0" xfId="0"/>
    <xf numFmtId="165" fontId="3" fillId="0" borderId="2" pivotButton="0" quotePrefix="0" xfId="0"/>
    <xf numFmtId="165" fontId="7" fillId="0" borderId="0" pivotButton="0" quotePrefix="0" xfId="0"/>
    <xf numFmtId="170" fontId="4" fillId="0" borderId="0" pivotButton="0" quotePrefix="0" xfId="0"/>
    <xf numFmtId="171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167" fontId="4" fillId="0" borderId="0" pivotButton="0" quotePrefix="0" xfId="0"/>
    <xf numFmtId="168" fontId="4" fillId="0" borderId="0" pivotButton="0" quotePrefix="0" xfId="0"/>
    <xf numFmtId="0" fontId="3" fillId="3" borderId="1" applyAlignment="1" pivotButton="0" quotePrefix="0" xfId="0">
      <alignment horizontal="center"/>
    </xf>
    <xf numFmtId="166" fontId="3" fillId="3" borderId="1" applyAlignment="1" pivotButton="0" quotePrefix="0" xfId="0">
      <alignment horizontal="center"/>
    </xf>
    <xf numFmtId="166" fontId="8" fillId="3" borderId="1" applyAlignment="1" pivotButton="0" quotePrefix="0" xfId="0">
      <alignment horizontal="center"/>
    </xf>
    <xf numFmtId="168" fontId="3" fillId="3" borderId="1" applyAlignment="1" pivotButton="0" quotePrefix="0" xfId="0">
      <alignment horizontal="center"/>
    </xf>
    <xf numFmtId="164" fontId="4" fillId="0" borderId="1" pivotButton="0" quotePrefix="0" xfId="0"/>
    <xf numFmtId="168" fontId="8" fillId="3" borderId="1" applyAlignment="1" pivotButton="0" quotePrefix="0" xfId="0">
      <alignment horizontal="center"/>
    </xf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A1:H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IndustrialCo - Enterprise DCF - Assumptions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Synthetic benchmark deal BM-DCF-001 - USD millions unless stated - Blue = input | Black = calculation | Green = link</t>
        </is>
      </c>
    </row>
    <row r="4">
      <c r="A4" s="4" t="inlineStr">
        <is>
          <t>Target &amp; Capitalization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inlineStr">
        <is>
          <t>Last FY revenue (FY0)</t>
        </is>
      </c>
      <c r="B5" s="7" t="n">
        <v>1000</v>
      </c>
    </row>
    <row r="6">
      <c r="A6" s="6" t="inlineStr">
        <is>
          <t>Last FY EBITDA (FY0)</t>
        </is>
      </c>
      <c r="B6" s="7" t="n">
        <v>180</v>
      </c>
    </row>
    <row r="7">
      <c r="A7" s="6" t="inlineStr">
        <is>
          <t>Net debt</t>
        </is>
      </c>
      <c r="B7" s="7" t="n">
        <v>250</v>
      </c>
    </row>
    <row r="8">
      <c r="A8" s="6" t="inlineStr">
        <is>
          <t>Shares outstanding (m)</t>
        </is>
      </c>
      <c r="B8" s="7" t="n">
        <v>150</v>
      </c>
    </row>
    <row r="9">
      <c r="A9" s="6" t="inlineStr">
        <is>
          <t>Reference share price ($/sh)</t>
        </is>
      </c>
      <c r="B9" s="8" t="n">
        <v>8</v>
      </c>
    </row>
    <row r="11">
      <c r="A11" s="4" t="inlineStr">
        <is>
          <t>Operating Drivers (every projection year)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D&amp;A (% of revenue)</t>
        </is>
      </c>
      <c r="B12" s="9" t="n">
        <v>0.06</v>
      </c>
    </row>
    <row r="13">
      <c r="A13" s="6" t="inlineStr">
        <is>
          <t>Capex (% of revenue)</t>
        </is>
      </c>
      <c r="B13" s="9" t="n">
        <v>0.065</v>
      </c>
    </row>
    <row r="14">
      <c r="A14" s="6" t="inlineStr">
        <is>
          <t>Change in NWC (% of change in revenue)</t>
        </is>
      </c>
      <c r="B14" s="9" t="n">
        <v>0.1</v>
      </c>
    </row>
    <row r="15">
      <c r="A15" s="6" t="inlineStr">
        <is>
          <t>Cash tax rate (on EBIT)</t>
        </is>
      </c>
      <c r="B15" s="9" t="n">
        <v>0.25</v>
      </c>
    </row>
    <row r="17">
      <c r="A17" s="4" t="inlineStr">
        <is>
          <t>Forecast Path (5 explicit years, revenue fade)</t>
        </is>
      </c>
      <c r="B17" s="5" t="n"/>
      <c r="C17" s="10" t="inlineStr">
        <is>
          <t>Year 1</t>
        </is>
      </c>
      <c r="D17" s="10" t="inlineStr">
        <is>
          <t>Year 2</t>
        </is>
      </c>
      <c r="E17" s="10" t="inlineStr">
        <is>
          <t>Year 3</t>
        </is>
      </c>
      <c r="F17" s="10" t="inlineStr">
        <is>
          <t>Year 4</t>
        </is>
      </c>
      <c r="G17" s="10" t="inlineStr">
        <is>
          <t>Year 5</t>
        </is>
      </c>
      <c r="H17" s="5" t="n"/>
    </row>
    <row r="18">
      <c r="A18" s="6" t="inlineStr">
        <is>
          <t>Revenue growth</t>
        </is>
      </c>
      <c r="C18" s="11" t="n">
        <v>0.04</v>
      </c>
      <c r="D18" s="11" t="n">
        <v>0.035</v>
      </c>
      <c r="E18" s="11" t="n">
        <v>0.03</v>
      </c>
      <c r="F18" s="11" t="n">
        <v>0.025</v>
      </c>
      <c r="G18" s="11" t="n">
        <v>0.02</v>
      </c>
    </row>
    <row r="19">
      <c r="A19" s="6" t="inlineStr">
        <is>
          <t>EBITDA margin</t>
        </is>
      </c>
      <c r="C19" s="11" t="n">
        <v>0.18</v>
      </c>
      <c r="D19" s="11" t="n">
        <v>0.18</v>
      </c>
      <c r="E19" s="11" t="n">
        <v>0.18</v>
      </c>
      <c r="F19" s="11" t="n">
        <v>0.18</v>
      </c>
      <c r="G19" s="11" t="n">
        <v>0.18</v>
      </c>
    </row>
    <row r="21">
      <c r="A21" s="4" t="inlineStr">
        <is>
          <t>WACC Inputs (plain CAPM - no extra premia)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6" t="inlineStr">
        <is>
          <t>Risk-free rate (10Y UST)</t>
        </is>
      </c>
      <c r="B22" s="12" t="n">
        <v>0.0425</v>
      </c>
    </row>
    <row r="23">
      <c r="A23" s="6" t="inlineStr">
        <is>
          <t>Equity risk premium</t>
        </is>
      </c>
      <c r="B23" s="12" t="n">
        <v>0.05</v>
      </c>
    </row>
    <row r="24">
      <c r="A24" s="6" t="inlineStr">
        <is>
          <t>Beta (levered)</t>
        </is>
      </c>
      <c r="B24" s="13" t="n">
        <v>1.1</v>
      </c>
    </row>
    <row r="25">
      <c r="A25" s="6" t="inlineStr">
        <is>
          <t>Pre-tax cost of debt</t>
        </is>
      </c>
      <c r="B25" s="12" t="n">
        <v>0.0575</v>
      </c>
    </row>
    <row r="26">
      <c r="A26" s="6" t="inlineStr">
        <is>
          <t>Tax rate (for WACC)</t>
        </is>
      </c>
      <c r="B26" s="9" t="n">
        <v>0.25</v>
      </c>
    </row>
    <row r="27">
      <c r="A27" s="6" t="inlineStr">
        <is>
          <t>Target D/(D+E)</t>
        </is>
      </c>
      <c r="B27" s="9" t="n">
        <v>0.3</v>
      </c>
    </row>
    <row r="29">
      <c r="A29" s="4" t="inlineStr">
        <is>
          <t>Terminal Value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6" t="inlineStr">
        <is>
          <t>Terminal growth g (Gordon)</t>
        </is>
      </c>
      <c r="B30" s="9" t="n">
        <v>0.02</v>
      </c>
    </row>
    <row r="31">
      <c r="A31" s="3" t="inlineStr">
        <is>
          <t>Note: capex = D&amp;A in perpetuity; terminal NWC normalized at g</t>
        </is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IndustrialCo - Enterprise DCF (end-of-year discounting, Gordon terminal)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Synthetic benchmark deal BM-DCF-001 - USD millions unless stated - Blue = input | Black = calculation | Green = link</t>
        </is>
      </c>
    </row>
    <row r="3">
      <c r="A3" s="14" t="inlineStr">
        <is>
          <t>(USD m unless stated)</t>
        </is>
      </c>
      <c r="B3" s="10" t="inlineStr">
        <is>
          <t>FY0</t>
        </is>
      </c>
      <c r="C3" s="10" t="inlineStr">
        <is>
          <t>Year 1</t>
        </is>
      </c>
      <c r="D3" s="10" t="inlineStr">
        <is>
          <t>Year 2</t>
        </is>
      </c>
      <c r="E3" s="10" t="inlineStr">
        <is>
          <t>Year 3</t>
        </is>
      </c>
      <c r="F3" s="10" t="inlineStr">
        <is>
          <t>Year 4</t>
        </is>
      </c>
      <c r="G3" s="10" t="inlineStr">
        <is>
          <t>Year 5</t>
        </is>
      </c>
      <c r="H3" s="14" t="inlineStr"/>
    </row>
    <row r="5">
      <c r="A5" s="4" t="inlineStr">
        <is>
          <t>1. WACC Build (CAPM)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Risk-free rate (10Y UST)</t>
        </is>
      </c>
      <c r="B6" s="15">
        <f>Assumptions!B22</f>
        <v/>
      </c>
    </row>
    <row r="7">
      <c r="A7" s="6" t="inlineStr">
        <is>
          <t>Equity risk premium</t>
        </is>
      </c>
      <c r="B7" s="15">
        <f>Assumptions!B23</f>
        <v/>
      </c>
    </row>
    <row r="8">
      <c r="A8" s="6" t="inlineStr">
        <is>
          <t>Beta (levered)</t>
        </is>
      </c>
      <c r="B8" s="16">
        <f>Assumptions!B24</f>
        <v/>
      </c>
    </row>
    <row r="9">
      <c r="A9" s="6" t="inlineStr">
        <is>
          <t>Cost of equity (Ke = rf + beta x ERP)</t>
        </is>
      </c>
      <c r="B9" s="17">
        <f>B6+B8*B7</f>
        <v/>
      </c>
    </row>
    <row r="10">
      <c r="A10" s="6" t="inlineStr">
        <is>
          <t>Pre-tax cost of debt</t>
        </is>
      </c>
      <c r="B10" s="15">
        <f>Assumptions!B25</f>
        <v/>
      </c>
    </row>
    <row r="11">
      <c r="A11" s="6" t="inlineStr">
        <is>
          <t>Tax rate</t>
        </is>
      </c>
      <c r="B11" s="18">
        <f>Assumptions!B26</f>
        <v/>
      </c>
    </row>
    <row r="12">
      <c r="A12" s="6" t="inlineStr">
        <is>
          <t>After-tax cost of debt (Kd x (1-t))</t>
        </is>
      </c>
      <c r="B12" s="19">
        <f>B10*(1-B11)</f>
        <v/>
      </c>
    </row>
    <row r="13">
      <c r="A13" s="6" t="inlineStr">
        <is>
          <t>Target D/(D+E)</t>
        </is>
      </c>
      <c r="B13" s="18">
        <f>Assumptions!B27</f>
        <v/>
      </c>
    </row>
    <row r="14">
      <c r="A14" s="6" t="inlineStr">
        <is>
          <t>Target E/(D+E)</t>
        </is>
      </c>
      <c r="B14" s="20">
        <f>1-B13</f>
        <v/>
      </c>
    </row>
    <row r="15">
      <c r="A15" s="21" t="inlineStr">
        <is>
          <t>WACC = E% x Ke + D% x after-tax Kd</t>
        </is>
      </c>
      <c r="B15" s="22">
        <f>B14*B9+B13*B12</f>
        <v/>
      </c>
    </row>
    <row r="17">
      <c r="A17" s="4" t="inlineStr">
        <is>
          <t>2. FCFF Forecast (revenue -&gt; EBITDA -&gt; EBIT -&gt; NOPAT -&gt; FCFF)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Revenue growth</t>
        </is>
      </c>
      <c r="C18" s="23">
        <f>Assumptions!C18</f>
        <v/>
      </c>
      <c r="D18" s="23">
        <f>Assumptions!D18</f>
        <v/>
      </c>
      <c r="E18" s="23">
        <f>Assumptions!E18</f>
        <v/>
      </c>
      <c r="F18" s="23">
        <f>Assumptions!F18</f>
        <v/>
      </c>
      <c r="G18" s="23">
        <f>Assumptions!G18</f>
        <v/>
      </c>
    </row>
    <row r="19">
      <c r="A19" s="6" t="inlineStr">
        <is>
          <t>Revenue</t>
        </is>
      </c>
      <c r="B19" s="24">
        <f>Assumptions!B5</f>
        <v/>
      </c>
      <c r="C19" s="25">
        <f>B19*(1+C18)</f>
        <v/>
      </c>
      <c r="D19" s="25">
        <f>C19*(1+D18)</f>
        <v/>
      </c>
      <c r="E19" s="25">
        <f>D19*(1+E18)</f>
        <v/>
      </c>
      <c r="F19" s="25">
        <f>E19*(1+F18)</f>
        <v/>
      </c>
      <c r="G19" s="25">
        <f>F19*(1+G18)</f>
        <v/>
      </c>
    </row>
    <row r="20">
      <c r="A20" s="6" t="inlineStr">
        <is>
          <t>EBITDA margin</t>
        </is>
      </c>
      <c r="B20" s="20">
        <f>Assumptions!B6/Assumptions!B5</f>
        <v/>
      </c>
      <c r="C20" s="23">
        <f>Assumptions!C19</f>
        <v/>
      </c>
      <c r="D20" s="23">
        <f>Assumptions!D19</f>
        <v/>
      </c>
      <c r="E20" s="23">
        <f>Assumptions!E19</f>
        <v/>
      </c>
      <c r="F20" s="23">
        <f>Assumptions!F19</f>
        <v/>
      </c>
      <c r="G20" s="23">
        <f>Assumptions!G19</f>
        <v/>
      </c>
    </row>
    <row r="21">
      <c r="A21" s="6" t="inlineStr">
        <is>
          <t>EBITDA</t>
        </is>
      </c>
      <c r="B21" s="24">
        <f>Assumptions!B6</f>
        <v/>
      </c>
      <c r="C21" s="25">
        <f>C19*C20</f>
        <v/>
      </c>
      <c r="D21" s="25">
        <f>D19*D20</f>
        <v/>
      </c>
      <c r="E21" s="25">
        <f>E19*E20</f>
        <v/>
      </c>
      <c r="F21" s="25">
        <f>F19*F20</f>
        <v/>
      </c>
      <c r="G21" s="25">
        <f>G19*G20</f>
        <v/>
      </c>
    </row>
    <row r="22">
      <c r="A22" s="6" t="inlineStr">
        <is>
          <t>Less: D&amp;A (6.0% of revenue)</t>
        </is>
      </c>
      <c r="C22" s="25">
        <f>-C19*Assumptions!$B$12</f>
        <v/>
      </c>
      <c r="D22" s="25">
        <f>-D19*Assumptions!$B$12</f>
        <v/>
      </c>
      <c r="E22" s="25">
        <f>-E19*Assumptions!$B$12</f>
        <v/>
      </c>
      <c r="F22" s="25">
        <f>-F19*Assumptions!$B$12</f>
        <v/>
      </c>
      <c r="G22" s="25">
        <f>-G19*Assumptions!$B$12</f>
        <v/>
      </c>
    </row>
    <row r="23">
      <c r="A23" s="21" t="inlineStr">
        <is>
          <t>EBIT</t>
        </is>
      </c>
      <c r="C23" s="26">
        <f>C21+C22</f>
        <v/>
      </c>
      <c r="D23" s="26">
        <f>D21+D22</f>
        <v/>
      </c>
      <c r="E23" s="26">
        <f>E21+E22</f>
        <v/>
      </c>
      <c r="F23" s="26">
        <f>F21+F22</f>
        <v/>
      </c>
      <c r="G23" s="26">
        <f>G21+G22</f>
        <v/>
      </c>
    </row>
    <row r="24">
      <c r="A24" s="6" t="inlineStr">
        <is>
          <t>Less: cash taxes (25% of EBIT)</t>
        </is>
      </c>
      <c r="C24" s="25">
        <f>-C23*Assumptions!$B$15</f>
        <v/>
      </c>
      <c r="D24" s="25">
        <f>-D23*Assumptions!$B$15</f>
        <v/>
      </c>
      <c r="E24" s="25">
        <f>-E23*Assumptions!$B$15</f>
        <v/>
      </c>
      <c r="F24" s="25">
        <f>-F23*Assumptions!$B$15</f>
        <v/>
      </c>
      <c r="G24" s="25">
        <f>-G23*Assumptions!$B$15</f>
        <v/>
      </c>
    </row>
    <row r="25">
      <c r="A25" s="21" t="inlineStr">
        <is>
          <t>NOPAT</t>
        </is>
      </c>
      <c r="C25" s="26">
        <f>C23+C24</f>
        <v/>
      </c>
      <c r="D25" s="26">
        <f>D23+D24</f>
        <v/>
      </c>
      <c r="E25" s="26">
        <f>E23+E24</f>
        <v/>
      </c>
      <c r="F25" s="26">
        <f>F23+F24</f>
        <v/>
      </c>
      <c r="G25" s="26">
        <f>G23+G24</f>
        <v/>
      </c>
    </row>
    <row r="26">
      <c r="A26" s="6" t="inlineStr">
        <is>
          <t>Plus: D&amp;A</t>
        </is>
      </c>
      <c r="C26" s="25">
        <f>-C22</f>
        <v/>
      </c>
      <c r="D26" s="25">
        <f>-D22</f>
        <v/>
      </c>
      <c r="E26" s="25">
        <f>-E22</f>
        <v/>
      </c>
      <c r="F26" s="25">
        <f>-F22</f>
        <v/>
      </c>
      <c r="G26" s="25">
        <f>-G22</f>
        <v/>
      </c>
    </row>
    <row r="27">
      <c r="A27" s="6" t="inlineStr">
        <is>
          <t>Less: capex (6.5% of revenue)</t>
        </is>
      </c>
      <c r="C27" s="25">
        <f>-C19*Assumptions!$B$13</f>
        <v/>
      </c>
      <c r="D27" s="25">
        <f>-D19*Assumptions!$B$13</f>
        <v/>
      </c>
      <c r="E27" s="25">
        <f>-E19*Assumptions!$B$13</f>
        <v/>
      </c>
      <c r="F27" s="25">
        <f>-F19*Assumptions!$B$13</f>
        <v/>
      </c>
      <c r="G27" s="25">
        <f>-G19*Assumptions!$B$13</f>
        <v/>
      </c>
    </row>
    <row r="28">
      <c r="A28" s="6" t="inlineStr">
        <is>
          <t>Less: change in NWC (10% of change in revenue)</t>
        </is>
      </c>
      <c r="C28" s="25">
        <f>-(C19-B19)*Assumptions!$B$14</f>
        <v/>
      </c>
      <c r="D28" s="25">
        <f>-(D19-C19)*Assumptions!$B$14</f>
        <v/>
      </c>
      <c r="E28" s="25">
        <f>-(E19-D19)*Assumptions!$B$14</f>
        <v/>
      </c>
      <c r="F28" s="25">
        <f>-(F19-E19)*Assumptions!$B$14</f>
        <v/>
      </c>
      <c r="G28" s="25">
        <f>-(G19-F19)*Assumptions!$B$14</f>
        <v/>
      </c>
    </row>
    <row r="29">
      <c r="A29" s="21" t="inlineStr">
        <is>
          <t>FCFF (unlevered free cash flow)</t>
        </is>
      </c>
      <c r="C29" s="26">
        <f>SUM(C25:C28)</f>
        <v/>
      </c>
      <c r="D29" s="26">
        <f>SUM(D25:D28)</f>
        <v/>
      </c>
      <c r="E29" s="26">
        <f>SUM(E25:E28)</f>
        <v/>
      </c>
      <c r="F29" s="26">
        <f>SUM(F25:F28)</f>
        <v/>
      </c>
      <c r="G29" s="26">
        <f>SUM(G25:G28)</f>
        <v/>
      </c>
    </row>
    <row r="31">
      <c r="A31" s="6" t="inlineStr">
        <is>
          <t>Discount period (end-of-year)</t>
        </is>
      </c>
      <c r="C31" s="27" t="n">
        <v>1</v>
      </c>
      <c r="D31" s="28">
        <f>C31+1</f>
        <v/>
      </c>
      <c r="E31" s="28">
        <f>D31+1</f>
        <v/>
      </c>
      <c r="F31" s="28">
        <f>E31+1</f>
        <v/>
      </c>
      <c r="G31" s="28">
        <f>F31+1</f>
        <v/>
      </c>
    </row>
    <row r="32">
      <c r="A32" s="6" t="inlineStr">
        <is>
          <t>Discount factor @ WACC</t>
        </is>
      </c>
      <c r="C32" s="29">
        <f>1/(1+$B$15)^C31</f>
        <v/>
      </c>
      <c r="D32" s="29">
        <f>1/(1+$B$15)^D31</f>
        <v/>
      </c>
      <c r="E32" s="29">
        <f>1/(1+$B$15)^E31</f>
        <v/>
      </c>
      <c r="F32" s="29">
        <f>1/(1+$B$15)^F31</f>
        <v/>
      </c>
      <c r="G32" s="29">
        <f>1/(1+$B$15)^G31</f>
        <v/>
      </c>
    </row>
    <row r="33">
      <c r="A33" s="21" t="inlineStr">
        <is>
          <t>PV of FCFF</t>
        </is>
      </c>
      <c r="C33" s="26">
        <f>C29*C32</f>
        <v/>
      </c>
      <c r="D33" s="26">
        <f>D29*D32</f>
        <v/>
      </c>
      <c r="E33" s="26">
        <f>E29*E32</f>
        <v/>
      </c>
      <c r="F33" s="26">
        <f>F29*F32</f>
        <v/>
      </c>
      <c r="G33" s="26">
        <f>G29*G32</f>
        <v/>
      </c>
    </row>
    <row r="35">
      <c r="A35" s="4" t="inlineStr">
        <is>
          <t>3. Terminal Value (Gordon growth on normalized FCF; capex = D&amp;A in perpetuity)</t>
        </is>
      </c>
      <c r="B35" s="5" t="n"/>
      <c r="C35" s="5" t="n"/>
      <c r="D35" s="5" t="n"/>
      <c r="E35" s="5" t="n"/>
      <c r="F35" s="5" t="n"/>
      <c r="G35" s="5" t="n"/>
      <c r="H35" s="5" t="n"/>
    </row>
    <row r="36">
      <c r="A36" s="6" t="inlineStr">
        <is>
          <t>Terminal growth (g)</t>
        </is>
      </c>
      <c r="B36" s="18">
        <f>Assumptions!B30</f>
        <v/>
      </c>
    </row>
    <row r="37">
      <c r="A37" s="6" t="inlineStr">
        <is>
          <t>Year-5 NOPAT</t>
        </is>
      </c>
      <c r="B37" s="25">
        <f>G25</f>
        <v/>
      </c>
    </row>
    <row r="38">
      <c r="A38" s="6" t="inlineStr">
        <is>
          <t>Less: terminal change in NWC (Yr-5 dNWC x (1+g))</t>
        </is>
      </c>
      <c r="B38" s="25">
        <f>-(G19-F19)*Assumptions!$B$14*(1+B36)</f>
        <v/>
      </c>
    </row>
    <row r="39">
      <c r="A39" s="21" t="inlineStr">
        <is>
          <t>Normalized terminal FCF</t>
        </is>
      </c>
      <c r="B39" s="26">
        <f>B37+B38</f>
        <v/>
      </c>
    </row>
    <row r="40">
      <c r="A40" s="6" t="inlineStr">
        <is>
          <t>Terminal value at end of Year 5 = norm FCF x (1+g)/(WACC-g)</t>
        </is>
      </c>
      <c r="B40" s="30">
        <f>B39*(1+B36)/($B$15-B36)</f>
        <v/>
      </c>
    </row>
    <row r="41">
      <c r="A41" s="6" t="inlineStr">
        <is>
          <t>PV of terminal value = TV/(1+WACC)^5</t>
        </is>
      </c>
      <c r="B41" s="30">
        <f>B40/(1+$B$15)^G31</f>
        <v/>
      </c>
    </row>
    <row r="43">
      <c r="A43" s="4" t="inlineStr">
        <is>
          <t>4. Enterprise &amp; Equity Value</t>
        </is>
      </c>
      <c r="B43" s="5" t="n"/>
      <c r="C43" s="5" t="n"/>
      <c r="D43" s="5" t="n"/>
      <c r="E43" s="5" t="n"/>
      <c r="F43" s="5" t="n"/>
      <c r="G43" s="5" t="n"/>
      <c r="H43" s="5" t="n"/>
    </row>
    <row r="44">
      <c r="A44" s="6" t="inlineStr">
        <is>
          <t>PV of explicit FCFF (Years 1-5)</t>
        </is>
      </c>
      <c r="B44" s="25">
        <f>SUM(C33:G33)</f>
        <v/>
      </c>
    </row>
    <row r="45">
      <c r="A45" s="6" t="inlineStr">
        <is>
          <t>PV of terminal value</t>
        </is>
      </c>
      <c r="B45" s="25">
        <f>B41</f>
        <v/>
      </c>
    </row>
    <row r="46">
      <c r="A46" s="21" t="inlineStr">
        <is>
          <t>Enterprise value</t>
        </is>
      </c>
      <c r="B46" s="26">
        <f>B44+B45</f>
        <v/>
      </c>
    </row>
    <row r="47">
      <c r="A47" s="6" t="inlineStr">
        <is>
          <t>Less: net debt</t>
        </is>
      </c>
      <c r="B47" s="24">
        <f>-Assumptions!B7</f>
        <v/>
      </c>
    </row>
    <row r="48">
      <c r="A48" s="21" t="inlineStr">
        <is>
          <t>Equity value</t>
        </is>
      </c>
      <c r="B48" s="26">
        <f>B46+B47</f>
        <v/>
      </c>
    </row>
    <row r="49">
      <c r="A49" s="6" t="inlineStr">
        <is>
          <t>Shares outstanding (m)</t>
        </is>
      </c>
      <c r="B49" s="24">
        <f>Assumptions!B8</f>
        <v/>
      </c>
    </row>
    <row r="50">
      <c r="A50" s="21" t="inlineStr">
        <is>
          <t>Implied price per share ($)</t>
        </is>
      </c>
      <c r="B50" s="31">
        <f>B48/B49</f>
        <v/>
      </c>
    </row>
    <row r="51">
      <c r="A51" s="6" t="inlineStr">
        <is>
          <t>Reference share price ($)</t>
        </is>
      </c>
      <c r="B51" s="32">
        <f>Assumptions!B9</f>
        <v/>
      </c>
    </row>
    <row r="52">
      <c r="A52" s="6" t="inlineStr">
        <is>
          <t>Implied premium / (discount) vs reference</t>
        </is>
      </c>
      <c r="B52" s="33">
        <f>B50/B51-1</f>
        <v/>
      </c>
    </row>
    <row r="53">
      <c r="A53" s="6" t="inlineStr">
        <is>
          <t>Terminal value as % of enterprise value</t>
        </is>
      </c>
      <c r="B53" s="20">
        <f>B45/B46</f>
        <v/>
      </c>
    </row>
    <row r="55">
      <c r="A55" s="4" t="inlineStr">
        <is>
          <t>5. Headline Outputs</t>
        </is>
      </c>
      <c r="B55" s="5" t="n"/>
      <c r="C55" s="5" t="n"/>
      <c r="D55" s="5" t="n"/>
      <c r="E55" s="5" t="n"/>
      <c r="F55" s="5" t="n"/>
      <c r="G55" s="5" t="n"/>
      <c r="H55" s="5" t="n"/>
    </row>
    <row r="56">
      <c r="A56" s="21" t="inlineStr">
        <is>
          <t>wacc</t>
        </is>
      </c>
      <c r="B56" s="34">
        <f>B15</f>
        <v/>
      </c>
      <c r="C56" s="3" t="inlineStr">
        <is>
          <t>(decimal)</t>
        </is>
      </c>
    </row>
    <row r="57">
      <c r="A57" s="21" t="inlineStr">
        <is>
          <t>enterprise_value</t>
        </is>
      </c>
      <c r="B57" s="35">
        <f>B46</f>
        <v/>
      </c>
      <c r="C57" s="3" t="inlineStr">
        <is>
          <t>($m)</t>
        </is>
      </c>
    </row>
    <row r="58">
      <c r="A58" s="21" t="inlineStr">
        <is>
          <t>equity_value</t>
        </is>
      </c>
      <c r="B58" s="35">
        <f>B48</f>
        <v/>
      </c>
      <c r="C58" s="3" t="inlineStr">
        <is>
          <t>($m)</t>
        </is>
      </c>
    </row>
    <row r="59">
      <c r="A59" s="21" t="inlineStr">
        <is>
          <t>implied_price_per_share</t>
        </is>
      </c>
      <c r="B59" s="36">
        <f>B50</f>
        <v/>
      </c>
      <c r="C59" s="3" t="inlineStr">
        <is>
          <t>($/share)</t>
        </is>
      </c>
    </row>
    <row r="61">
      <c r="A61" s="4" t="inlineStr">
        <is>
          <t>6. Checks (all must be 0 / OK)</t>
        </is>
      </c>
      <c r="B61" s="5" t="n"/>
      <c r="C61" s="5" t="n"/>
      <c r="D61" s="5" t="n"/>
      <c r="E61" s="5" t="n"/>
      <c r="F61" s="5" t="n"/>
      <c r="G61" s="5" t="n"/>
      <c r="H61" s="5" t="n"/>
    </row>
    <row r="62">
      <c r="A62" s="6" t="inlineStr">
        <is>
          <t>EV bridge: EV - net debt - equity value</t>
        </is>
      </c>
      <c r="B62" s="37">
        <f>B46-Assumptions!B7-B48</f>
        <v/>
      </c>
      <c r="C62" s="21">
        <f>IF(ABS(B62)&lt;0.000001,"OK","FAIL")</f>
        <v/>
      </c>
    </row>
    <row r="63">
      <c r="A63" s="6" t="inlineStr">
        <is>
          <t>Price x shares - equity value</t>
        </is>
      </c>
      <c r="B63" s="37">
        <f>B50*B49-B48</f>
        <v/>
      </c>
      <c r="C63" s="21">
        <f>IF(ABS(B63)&lt;0.000001,"OK","FAIL")</f>
        <v/>
      </c>
    </row>
    <row r="64">
      <c r="A64" s="6" t="inlineStr">
        <is>
          <t>FCFF identity rebuild (Year 5): FCFF - [EBITx(1-t)+D&amp;A-capex-dNWC]</t>
        </is>
      </c>
      <c r="B64" s="37">
        <f>G29-(G23*(1-Assumptions!B15)+G26-G19*Assumptions!B13-(G19-F19)*Assumptions!B14)</f>
        <v/>
      </c>
      <c r="C64" s="21">
        <f>IF(ABS(B64)&lt;0.000001,"OK","FAIL")</f>
        <v/>
      </c>
    </row>
    <row r="65">
      <c r="A65" s="6" t="inlineStr">
        <is>
          <t>Gordon validity: WACC - g (must be &gt; 0)</t>
        </is>
      </c>
      <c r="B65" s="38">
        <f>B15-B36</f>
        <v/>
      </c>
      <c r="C65" s="21">
        <f>IF(B36&lt;B15,"OK","FAIL")</f>
        <v/>
      </c>
    </row>
    <row r="66">
      <c r="A66" s="6" t="inlineStr">
        <is>
          <t>Sensitivity center cell ties to base enterprise value</t>
        </is>
      </c>
      <c r="B66" s="37">
        <f>Sensitivity!E7-B46</f>
        <v/>
      </c>
      <c r="C66" s="21">
        <f>IF(ABS(B66)&lt;0.000001,"OK","FAIL")</f>
        <v/>
      </c>
    </row>
    <row r="67">
      <c r="A67" s="6" t="inlineStr">
        <is>
          <t>WACC ties to brief (8.11875%)</t>
        </is>
      </c>
      <c r="B67" s="38">
        <f>B15-0.0811875</f>
        <v/>
      </c>
      <c r="C67" s="21">
        <f>IF(ABS(B67)&lt;0.0000001,"OK","FAIL")</f>
        <v/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IndustrialCo - DCF Sensitivities (live formulas, full model re-derived per cell)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Synthetic benchmark deal BM-DCF-001 - USD millions unless stated - Blue = input | Black = calculation | Green = link</t>
        </is>
      </c>
    </row>
    <row r="3">
      <c r="A3" s="4" t="inlineStr">
        <is>
          <t>Enterprise value ($m) - WACC vs terminal growth g</t>
        </is>
      </c>
      <c r="B3" s="5" t="n"/>
      <c r="C3" s="5" t="n"/>
      <c r="D3" s="5" t="n"/>
      <c r="E3" s="5" t="n"/>
      <c r="F3" s="5" t="n"/>
      <c r="G3" s="5" t="n"/>
      <c r="H3" s="5" t="n"/>
    </row>
    <row r="4">
      <c r="B4" s="39" t="inlineStr">
        <is>
          <t>WACC \ g</t>
        </is>
      </c>
      <c r="C4" s="40">
        <f>D4-0.005</f>
        <v/>
      </c>
      <c r="D4" s="40">
        <f>E4-0.005</f>
        <v/>
      </c>
      <c r="E4" s="41">
        <f>DCF!B36</f>
        <v/>
      </c>
      <c r="F4" s="40">
        <f>E4+0.005</f>
        <v/>
      </c>
      <c r="G4" s="40">
        <f>F4+0.005</f>
        <v/>
      </c>
    </row>
    <row r="5">
      <c r="B5" s="42">
        <f>B6-0.005</f>
        <v/>
      </c>
      <c r="C5" s="43">
        <f>DCF!$C$29/(1+$B5)^1+DCF!$D$29/(1+$B5)^2+DCF!$E$29/(1+$B5)^3+DCF!$F$29/(1+$B5)^4+DCF!$G$29/(1+$B5)^5+(DCF!$G$25-(DCF!$G$19-DCF!$F$19)*Assumptions!$B$14*(1+C$4))*(1+C$4)/($B5-C$4)/(1+$B5)^5</f>
        <v/>
      </c>
      <c r="D5" s="43">
        <f>DCF!$C$29/(1+$B5)^1+DCF!$D$29/(1+$B5)^2+DCF!$E$29/(1+$B5)^3+DCF!$F$29/(1+$B5)^4+DCF!$G$29/(1+$B5)^5+(DCF!$G$25-(DCF!$G$19-DCF!$F$19)*Assumptions!$B$14*(1+D$4))*(1+D$4)/($B5-D$4)/(1+$B5)^5</f>
        <v/>
      </c>
      <c r="E5" s="43">
        <f>DCF!$C$29/(1+$B5)^1+DCF!$D$29/(1+$B5)^2+DCF!$E$29/(1+$B5)^3+DCF!$F$29/(1+$B5)^4+DCF!$G$29/(1+$B5)^5+(DCF!$G$25-(DCF!$G$19-DCF!$F$19)*Assumptions!$B$14*(1+E$4))*(1+E$4)/($B5-E$4)/(1+$B5)^5</f>
        <v/>
      </c>
      <c r="F5" s="43">
        <f>DCF!$C$29/(1+$B5)^1+DCF!$D$29/(1+$B5)^2+DCF!$E$29/(1+$B5)^3+DCF!$F$29/(1+$B5)^4+DCF!$G$29/(1+$B5)^5+(DCF!$G$25-(DCF!$G$19-DCF!$F$19)*Assumptions!$B$14*(1+F$4))*(1+F$4)/($B5-F$4)/(1+$B5)^5</f>
        <v/>
      </c>
      <c r="G5" s="43">
        <f>DCF!$C$29/(1+$B5)^1+DCF!$D$29/(1+$B5)^2+DCF!$E$29/(1+$B5)^3+DCF!$F$29/(1+$B5)^4+DCF!$G$29/(1+$B5)^5+(DCF!$G$25-(DCF!$G$19-DCF!$F$19)*Assumptions!$B$14*(1+G$4))*(1+G$4)/($B5-G$4)/(1+$B5)^5</f>
        <v/>
      </c>
    </row>
    <row r="6">
      <c r="B6" s="42">
        <f>B7-0.005</f>
        <v/>
      </c>
      <c r="C6" s="43">
        <f>DCF!$C$29/(1+$B6)^1+DCF!$D$29/(1+$B6)^2+DCF!$E$29/(1+$B6)^3+DCF!$F$29/(1+$B6)^4+DCF!$G$29/(1+$B6)^5+(DCF!$G$25-(DCF!$G$19-DCF!$F$19)*Assumptions!$B$14*(1+C$4))*(1+C$4)/($B6-C$4)/(1+$B6)^5</f>
        <v/>
      </c>
      <c r="D6" s="43">
        <f>DCF!$C$29/(1+$B6)^1+DCF!$D$29/(1+$B6)^2+DCF!$E$29/(1+$B6)^3+DCF!$F$29/(1+$B6)^4+DCF!$G$29/(1+$B6)^5+(DCF!$G$25-(DCF!$G$19-DCF!$F$19)*Assumptions!$B$14*(1+D$4))*(1+D$4)/($B6-D$4)/(1+$B6)^5</f>
        <v/>
      </c>
      <c r="E6" s="43">
        <f>DCF!$C$29/(1+$B6)^1+DCF!$D$29/(1+$B6)^2+DCF!$E$29/(1+$B6)^3+DCF!$F$29/(1+$B6)^4+DCF!$G$29/(1+$B6)^5+(DCF!$G$25-(DCF!$G$19-DCF!$F$19)*Assumptions!$B$14*(1+E$4))*(1+E$4)/($B6-E$4)/(1+$B6)^5</f>
        <v/>
      </c>
      <c r="F6" s="43">
        <f>DCF!$C$29/(1+$B6)^1+DCF!$D$29/(1+$B6)^2+DCF!$E$29/(1+$B6)^3+DCF!$F$29/(1+$B6)^4+DCF!$G$29/(1+$B6)^5+(DCF!$G$25-(DCF!$G$19-DCF!$F$19)*Assumptions!$B$14*(1+F$4))*(1+F$4)/($B6-F$4)/(1+$B6)^5</f>
        <v/>
      </c>
      <c r="G6" s="43">
        <f>DCF!$C$29/(1+$B6)^1+DCF!$D$29/(1+$B6)^2+DCF!$E$29/(1+$B6)^3+DCF!$F$29/(1+$B6)^4+DCF!$G$29/(1+$B6)^5+(DCF!$G$25-(DCF!$G$19-DCF!$F$19)*Assumptions!$B$14*(1+G$4))*(1+G$4)/($B6-G$4)/(1+$B6)^5</f>
        <v/>
      </c>
    </row>
    <row r="7">
      <c r="B7" s="44">
        <f>DCF!B15</f>
        <v/>
      </c>
      <c r="C7" s="43">
        <f>DCF!$C$29/(1+$B7)^1+DCF!$D$29/(1+$B7)^2+DCF!$E$29/(1+$B7)^3+DCF!$F$29/(1+$B7)^4+DCF!$G$29/(1+$B7)^5+(DCF!$G$25-(DCF!$G$19-DCF!$F$19)*Assumptions!$B$14*(1+C$4))*(1+C$4)/($B7-C$4)/(1+$B7)^5</f>
        <v/>
      </c>
      <c r="D7" s="43">
        <f>DCF!$C$29/(1+$B7)^1+DCF!$D$29/(1+$B7)^2+DCF!$E$29/(1+$B7)^3+DCF!$F$29/(1+$B7)^4+DCF!$G$29/(1+$B7)^5+(DCF!$G$25-(DCF!$G$19-DCF!$F$19)*Assumptions!$B$14*(1+D$4))*(1+D$4)/($B7-D$4)/(1+$B7)^5</f>
        <v/>
      </c>
      <c r="E7" s="35">
        <f>DCF!$C$29/(1+$B7)^1+DCF!$D$29/(1+$B7)^2+DCF!$E$29/(1+$B7)^3+DCF!$F$29/(1+$B7)^4+DCF!$G$29/(1+$B7)^5+(DCF!$G$25-(DCF!$G$19-DCF!$F$19)*Assumptions!$B$14*(1+E$4))*(1+E$4)/($B7-E$4)/(1+$B7)^5</f>
        <v/>
      </c>
      <c r="F7" s="43">
        <f>DCF!$C$29/(1+$B7)^1+DCF!$D$29/(1+$B7)^2+DCF!$E$29/(1+$B7)^3+DCF!$F$29/(1+$B7)^4+DCF!$G$29/(1+$B7)^5+(DCF!$G$25-(DCF!$G$19-DCF!$F$19)*Assumptions!$B$14*(1+F$4))*(1+F$4)/($B7-F$4)/(1+$B7)^5</f>
        <v/>
      </c>
      <c r="G7" s="43">
        <f>DCF!$C$29/(1+$B7)^1+DCF!$D$29/(1+$B7)^2+DCF!$E$29/(1+$B7)^3+DCF!$F$29/(1+$B7)^4+DCF!$G$29/(1+$B7)^5+(DCF!$G$25-(DCF!$G$19-DCF!$F$19)*Assumptions!$B$14*(1+G$4))*(1+G$4)/($B7-G$4)/(1+$B7)^5</f>
        <v/>
      </c>
    </row>
    <row r="8">
      <c r="B8" s="42">
        <f>B7+0.005</f>
        <v/>
      </c>
      <c r="C8" s="43">
        <f>DCF!$C$29/(1+$B8)^1+DCF!$D$29/(1+$B8)^2+DCF!$E$29/(1+$B8)^3+DCF!$F$29/(1+$B8)^4+DCF!$G$29/(1+$B8)^5+(DCF!$G$25-(DCF!$G$19-DCF!$F$19)*Assumptions!$B$14*(1+C$4))*(1+C$4)/($B8-C$4)/(1+$B8)^5</f>
        <v/>
      </c>
      <c r="D8" s="43">
        <f>DCF!$C$29/(1+$B8)^1+DCF!$D$29/(1+$B8)^2+DCF!$E$29/(1+$B8)^3+DCF!$F$29/(1+$B8)^4+DCF!$G$29/(1+$B8)^5+(DCF!$G$25-(DCF!$G$19-DCF!$F$19)*Assumptions!$B$14*(1+D$4))*(1+D$4)/($B8-D$4)/(1+$B8)^5</f>
        <v/>
      </c>
      <c r="E8" s="43">
        <f>DCF!$C$29/(1+$B8)^1+DCF!$D$29/(1+$B8)^2+DCF!$E$29/(1+$B8)^3+DCF!$F$29/(1+$B8)^4+DCF!$G$29/(1+$B8)^5+(DCF!$G$25-(DCF!$G$19-DCF!$F$19)*Assumptions!$B$14*(1+E$4))*(1+E$4)/($B8-E$4)/(1+$B8)^5</f>
        <v/>
      </c>
      <c r="F8" s="43">
        <f>DCF!$C$29/(1+$B8)^1+DCF!$D$29/(1+$B8)^2+DCF!$E$29/(1+$B8)^3+DCF!$F$29/(1+$B8)^4+DCF!$G$29/(1+$B8)^5+(DCF!$G$25-(DCF!$G$19-DCF!$F$19)*Assumptions!$B$14*(1+F$4))*(1+F$4)/($B8-F$4)/(1+$B8)^5</f>
        <v/>
      </c>
      <c r="G8" s="43">
        <f>DCF!$C$29/(1+$B8)^1+DCF!$D$29/(1+$B8)^2+DCF!$E$29/(1+$B8)^3+DCF!$F$29/(1+$B8)^4+DCF!$G$29/(1+$B8)^5+(DCF!$G$25-(DCF!$G$19-DCF!$F$19)*Assumptions!$B$14*(1+G$4))*(1+G$4)/($B8-G$4)/(1+$B8)^5</f>
        <v/>
      </c>
    </row>
    <row r="9">
      <c r="B9" s="42">
        <f>B8+0.005</f>
        <v/>
      </c>
      <c r="C9" s="43">
        <f>DCF!$C$29/(1+$B9)^1+DCF!$D$29/(1+$B9)^2+DCF!$E$29/(1+$B9)^3+DCF!$F$29/(1+$B9)^4+DCF!$G$29/(1+$B9)^5+(DCF!$G$25-(DCF!$G$19-DCF!$F$19)*Assumptions!$B$14*(1+C$4))*(1+C$4)/($B9-C$4)/(1+$B9)^5</f>
        <v/>
      </c>
      <c r="D9" s="43">
        <f>DCF!$C$29/(1+$B9)^1+DCF!$D$29/(1+$B9)^2+DCF!$E$29/(1+$B9)^3+DCF!$F$29/(1+$B9)^4+DCF!$G$29/(1+$B9)^5+(DCF!$G$25-(DCF!$G$19-DCF!$F$19)*Assumptions!$B$14*(1+D$4))*(1+D$4)/($B9-D$4)/(1+$B9)^5</f>
        <v/>
      </c>
      <c r="E9" s="43">
        <f>DCF!$C$29/(1+$B9)^1+DCF!$D$29/(1+$B9)^2+DCF!$E$29/(1+$B9)^3+DCF!$F$29/(1+$B9)^4+DCF!$G$29/(1+$B9)^5+(DCF!$G$25-(DCF!$G$19-DCF!$F$19)*Assumptions!$B$14*(1+E$4))*(1+E$4)/($B9-E$4)/(1+$B9)^5</f>
        <v/>
      </c>
      <c r="F9" s="43">
        <f>DCF!$C$29/(1+$B9)^1+DCF!$D$29/(1+$B9)^2+DCF!$E$29/(1+$B9)^3+DCF!$F$29/(1+$B9)^4+DCF!$G$29/(1+$B9)^5+(DCF!$G$25-(DCF!$G$19-DCF!$F$19)*Assumptions!$B$14*(1+F$4))*(1+F$4)/($B9-F$4)/(1+$B9)^5</f>
        <v/>
      </c>
      <c r="G9" s="43">
        <f>DCF!$C$29/(1+$B9)^1+DCF!$D$29/(1+$B9)^2+DCF!$E$29/(1+$B9)^3+DCF!$F$29/(1+$B9)^4+DCF!$G$29/(1+$B9)^5+(DCF!$G$25-(DCF!$G$19-DCF!$F$19)*Assumptions!$B$14*(1+G$4))*(1+G$4)/($B9-G$4)/(1+$B9)^5</f>
        <v/>
      </c>
    </row>
    <row r="12">
      <c r="A12" s="4" t="inlineStr">
        <is>
          <t>Implied price per share ($) - WACC vs terminal growth g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B13" s="39" t="inlineStr">
        <is>
          <t>WACC \ g</t>
        </is>
      </c>
      <c r="C13" s="40">
        <f>C4</f>
        <v/>
      </c>
      <c r="D13" s="40">
        <f>D4</f>
        <v/>
      </c>
      <c r="E13" s="40">
        <f>E4</f>
        <v/>
      </c>
      <c r="F13" s="40">
        <f>F4</f>
        <v/>
      </c>
      <c r="G13" s="40">
        <f>G4</f>
        <v/>
      </c>
    </row>
    <row r="14">
      <c r="B14" s="42">
        <f>B5</f>
        <v/>
      </c>
      <c r="C14" s="45">
        <f>(C5-Assumptions!$B$7)/Assumptions!$B$8</f>
        <v/>
      </c>
      <c r="D14" s="45">
        <f>(D5-Assumptions!$B$7)/Assumptions!$B$8</f>
        <v/>
      </c>
      <c r="E14" s="45">
        <f>(E5-Assumptions!$B$7)/Assumptions!$B$8</f>
        <v/>
      </c>
      <c r="F14" s="45">
        <f>(F5-Assumptions!$B$7)/Assumptions!$B$8</f>
        <v/>
      </c>
      <c r="G14" s="45">
        <f>(G5-Assumptions!$B$7)/Assumptions!$B$8</f>
        <v/>
      </c>
    </row>
    <row r="15">
      <c r="B15" s="42">
        <f>B6</f>
        <v/>
      </c>
      <c r="C15" s="45">
        <f>(C6-Assumptions!$B$7)/Assumptions!$B$8</f>
        <v/>
      </c>
      <c r="D15" s="45">
        <f>(D6-Assumptions!$B$7)/Assumptions!$B$8</f>
        <v/>
      </c>
      <c r="E15" s="45">
        <f>(E6-Assumptions!$B$7)/Assumptions!$B$8</f>
        <v/>
      </c>
      <c r="F15" s="45">
        <f>(F6-Assumptions!$B$7)/Assumptions!$B$8</f>
        <v/>
      </c>
      <c r="G15" s="45">
        <f>(G6-Assumptions!$B$7)/Assumptions!$B$8</f>
        <v/>
      </c>
    </row>
    <row r="16">
      <c r="B16" s="42">
        <f>B7</f>
        <v/>
      </c>
      <c r="C16" s="45">
        <f>(C7-Assumptions!$B$7)/Assumptions!$B$8</f>
        <v/>
      </c>
      <c r="D16" s="45">
        <f>(D7-Assumptions!$B$7)/Assumptions!$B$8</f>
        <v/>
      </c>
      <c r="E16" s="36">
        <f>(E7-Assumptions!$B$7)/Assumptions!$B$8</f>
        <v/>
      </c>
      <c r="F16" s="45">
        <f>(F7-Assumptions!$B$7)/Assumptions!$B$8</f>
        <v/>
      </c>
      <c r="G16" s="45">
        <f>(G7-Assumptions!$B$7)/Assumptions!$B$8</f>
        <v/>
      </c>
    </row>
    <row r="17">
      <c r="B17" s="42">
        <f>B8</f>
        <v/>
      </c>
      <c r="C17" s="45">
        <f>(C8-Assumptions!$B$7)/Assumptions!$B$8</f>
        <v/>
      </c>
      <c r="D17" s="45">
        <f>(D8-Assumptions!$B$7)/Assumptions!$B$8</f>
        <v/>
      </c>
      <c r="E17" s="45">
        <f>(E8-Assumptions!$B$7)/Assumptions!$B$8</f>
        <v/>
      </c>
      <c r="F17" s="45">
        <f>(F8-Assumptions!$B$7)/Assumptions!$B$8</f>
        <v/>
      </c>
      <c r="G17" s="45">
        <f>(G8-Assumptions!$B$7)/Assumptions!$B$8</f>
        <v/>
      </c>
    </row>
    <row r="18">
      <c r="B18" s="42">
        <f>B9</f>
        <v/>
      </c>
      <c r="C18" s="45">
        <f>(C9-Assumptions!$B$7)/Assumptions!$B$8</f>
        <v/>
      </c>
      <c r="D18" s="45">
        <f>(D9-Assumptions!$B$7)/Assumptions!$B$8</f>
        <v/>
      </c>
      <c r="E18" s="45">
        <f>(E9-Assumptions!$B$7)/Assumptions!$B$8</f>
        <v/>
      </c>
      <c r="F18" s="45">
        <f>(F9-Assumptions!$B$7)/Assumptions!$B$8</f>
        <v/>
      </c>
      <c r="G18" s="45">
        <f>(G9-Assumptions!$B$7)/Assumptions!$B$8</f>
        <v/>
      </c>
    </row>
    <row r="20">
      <c r="A20" s="3" t="inlineStr">
        <is>
          <t>Center row/column are live links to the model WACC (8.119%) and g (2.0%); steps of +/- 50bp. Every cell is a full live re-derivation (no data table).</t>
        </is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2026-06-12T15:18:14Z</dcterms:created>
  <dcterms:modified xmlns:dcterms="http://purl.org/dc/terms/" xmlns:xsi="http://www.w3.org/2001/XMLSchema-instance" xsi:type="dcterms:W3CDTF">2026-06-12T15:18:14Z</dcterms:modified>
</cp:coreProperties>
</file>