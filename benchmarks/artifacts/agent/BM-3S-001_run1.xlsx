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kep\Desktop\Projects AI\ModelForge\benchmarks\artifacts\agent\"/>
    </mc:Choice>
  </mc:AlternateContent>
  <xr:revisionPtr revIDLastSave="0" documentId="13_ncr:1_{BF5C55A8-E3A5-4DA3-90F8-6CB3DCBCF0DF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Assumptions" sheetId="1" r:id="rId1"/>
    <sheet name="Model" sheetId="2" r:id="rId2"/>
  </sheets>
  <definedNames>
    <definedName name="_xlnm.Print_Area" localSheetId="0">Assumptions!$A$1:$F$35</definedName>
    <definedName name="_xlnm.Print_Area" localSheetId="1">Model!$A$1:$I$72</definedName>
    <definedName name="Capex_Pct">Assumptions!$B$31</definedName>
    <definedName name="DaysYear">Assumptions!$B$34</definedName>
    <definedName name="Debt_Amort">Assumptions!$B$33</definedName>
    <definedName name="DIO_Days">Assumptions!$B$29</definedName>
    <definedName name="DnA_Pct">Assumptions!$B$25</definedName>
    <definedName name="DPO_Days">Assumptions!$B$30</definedName>
    <definedName name="DSO_Days">Assumptions!$B$28</definedName>
    <definedName name="IntRate">Assumptions!$B$26</definedName>
    <definedName name="Payout_Pct">Assumptions!$B$32</definedName>
    <definedName name="TaxRate">Assumptions!$B$27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2" l="1"/>
  <c r="C59" i="2"/>
  <c r="B57" i="2"/>
  <c r="C54" i="2" s="1"/>
  <c r="B52" i="2"/>
  <c r="C50" i="2" s="1"/>
  <c r="B28" i="2"/>
  <c r="B26" i="2"/>
  <c r="B25" i="2"/>
  <c r="B23" i="2"/>
  <c r="C22" i="2"/>
  <c r="C36" i="2" s="1"/>
  <c r="B22" i="2"/>
  <c r="B21" i="2"/>
  <c r="B20" i="2"/>
  <c r="C45" i="2" s="1"/>
  <c r="C14" i="2"/>
  <c r="B14" i="2"/>
  <c r="C12" i="2"/>
  <c r="C34" i="2" s="1"/>
  <c r="D10" i="2"/>
  <c r="C10" i="2"/>
  <c r="B10" i="2"/>
  <c r="D8" i="2"/>
  <c r="E8" i="2" s="1"/>
  <c r="C8" i="2"/>
  <c r="C25" i="2" s="1"/>
  <c r="B8" i="2"/>
  <c r="B12" i="2" s="1"/>
  <c r="B17" i="1"/>
  <c r="B27" i="2" l="1"/>
  <c r="B29" i="2" s="1"/>
  <c r="C13" i="2"/>
  <c r="C15" i="2" s="1"/>
  <c r="C51" i="2"/>
  <c r="C42" i="2" s="1"/>
  <c r="C37" i="2"/>
  <c r="B13" i="2"/>
  <c r="B15" i="2" s="1"/>
  <c r="E22" i="2"/>
  <c r="E9" i="2"/>
  <c r="E10" i="2"/>
  <c r="E25" i="2"/>
  <c r="E21" i="2"/>
  <c r="F8" i="2"/>
  <c r="E12" i="2"/>
  <c r="E55" i="2"/>
  <c r="E39" i="2" s="1"/>
  <c r="E40" i="2" s="1"/>
  <c r="C16" i="2"/>
  <c r="C17" i="2" s="1"/>
  <c r="B24" i="2"/>
  <c r="B30" i="2" s="1"/>
  <c r="C55" i="2"/>
  <c r="C39" i="2" s="1"/>
  <c r="C40" i="2" s="1"/>
  <c r="D12" i="2"/>
  <c r="D55" i="2"/>
  <c r="D39" i="2" s="1"/>
  <c r="D40" i="2" s="1"/>
  <c r="C9" i="2"/>
  <c r="C11" i="2"/>
  <c r="C21" i="2"/>
  <c r="C35" i="2" s="1"/>
  <c r="B11" i="2"/>
  <c r="D9" i="2"/>
  <c r="D11" i="2"/>
  <c r="D21" i="2"/>
  <c r="D35" i="2" s="1"/>
  <c r="D25" i="2"/>
  <c r="D22" i="2"/>
  <c r="D36" i="2" s="1"/>
  <c r="C56" i="2"/>
  <c r="C61" i="2" l="1"/>
  <c r="C41" i="2" s="1"/>
  <c r="C43" i="2" s="1"/>
  <c r="C33" i="2"/>
  <c r="C38" i="2" s="1"/>
  <c r="C44" i="2" s="1"/>
  <c r="C46" i="2" s="1"/>
  <c r="C20" i="2" s="1"/>
  <c r="C60" i="2"/>
  <c r="C62" i="2" s="1"/>
  <c r="E13" i="2"/>
  <c r="E11" i="2"/>
  <c r="E34" i="2"/>
  <c r="E56" i="2"/>
  <c r="E35" i="2"/>
  <c r="D56" i="2"/>
  <c r="D34" i="2"/>
  <c r="F9" i="2"/>
  <c r="G8" i="2"/>
  <c r="F25" i="2"/>
  <c r="F21" i="2"/>
  <c r="F35" i="2" s="1"/>
  <c r="F22" i="2"/>
  <c r="F36" i="2" s="1"/>
  <c r="F10" i="2"/>
  <c r="F55" i="2"/>
  <c r="F39" i="2" s="1"/>
  <c r="F40" i="2" s="1"/>
  <c r="F12" i="2"/>
  <c r="E36" i="2"/>
  <c r="B16" i="2"/>
  <c r="B17" i="2" s="1"/>
  <c r="C57" i="2"/>
  <c r="D37" i="2"/>
  <c r="E37" i="2"/>
  <c r="D13" i="2"/>
  <c r="C52" i="2"/>
  <c r="F13" i="2" l="1"/>
  <c r="F11" i="2"/>
  <c r="D14" i="2"/>
  <c r="D15" i="2" s="1"/>
  <c r="C26" i="2"/>
  <c r="C27" i="2" s="1"/>
  <c r="D50" i="2"/>
  <c r="D59" i="2"/>
  <c r="C28" i="2"/>
  <c r="F37" i="2"/>
  <c r="C23" i="2"/>
  <c r="D54" i="2"/>
  <c r="D57" i="2" s="1"/>
  <c r="C24" i="2"/>
  <c r="D45" i="2"/>
  <c r="G25" i="2"/>
  <c r="G21" i="2"/>
  <c r="G35" i="2" s="1"/>
  <c r="G9" i="2"/>
  <c r="G10" i="2"/>
  <c r="G55" i="2"/>
  <c r="G39" i="2" s="1"/>
  <c r="G40" i="2" s="1"/>
  <c r="H8" i="2"/>
  <c r="G22" i="2"/>
  <c r="G36" i="2" s="1"/>
  <c r="G12" i="2"/>
  <c r="F34" i="2"/>
  <c r="F56" i="2"/>
  <c r="D16" i="2" l="1"/>
  <c r="D17" i="2" s="1"/>
  <c r="G34" i="2"/>
  <c r="G56" i="2"/>
  <c r="C29" i="2"/>
  <c r="G37" i="2"/>
  <c r="D23" i="2"/>
  <c r="E54" i="2"/>
  <c r="E57" i="2" s="1"/>
  <c r="D51" i="2"/>
  <c r="D42" i="2" s="1"/>
  <c r="G13" i="2"/>
  <c r="G11" i="2"/>
  <c r="C30" i="2"/>
  <c r="H25" i="2"/>
  <c r="H21" i="2"/>
  <c r="H35" i="2" s="1"/>
  <c r="H9" i="2"/>
  <c r="H22" i="2"/>
  <c r="H36" i="2" s="1"/>
  <c r="H55" i="2"/>
  <c r="H39" i="2" s="1"/>
  <c r="H40" i="2" s="1"/>
  <c r="H10" i="2"/>
  <c r="I8" i="2"/>
  <c r="H12" i="2"/>
  <c r="D61" i="2" l="1"/>
  <c r="D41" i="2" s="1"/>
  <c r="D43" i="2" s="1"/>
  <c r="D33" i="2"/>
  <c r="D38" i="2" s="1"/>
  <c r="D44" i="2" s="1"/>
  <c r="D46" i="2" s="1"/>
  <c r="D20" i="2" s="1"/>
  <c r="D60" i="2"/>
  <c r="D62" i="2" s="1"/>
  <c r="I25" i="2"/>
  <c r="I21" i="2"/>
  <c r="I35" i="2" s="1"/>
  <c r="I9" i="2"/>
  <c r="I55" i="2"/>
  <c r="I39" i="2" s="1"/>
  <c r="I40" i="2" s="1"/>
  <c r="I12" i="2"/>
  <c r="I22" i="2"/>
  <c r="I36" i="2" s="1"/>
  <c r="I10" i="2"/>
  <c r="D52" i="2"/>
  <c r="E23" i="2"/>
  <c r="F54" i="2"/>
  <c r="F57" i="2" s="1"/>
  <c r="H13" i="2"/>
  <c r="H11" i="2"/>
  <c r="H34" i="2"/>
  <c r="H56" i="2"/>
  <c r="H37" i="2"/>
  <c r="E50" i="2" l="1"/>
  <c r="D26" i="2"/>
  <c r="D27" i="2" s="1"/>
  <c r="E14" i="2"/>
  <c r="E15" i="2" s="1"/>
  <c r="I13" i="2"/>
  <c r="I11" i="2"/>
  <c r="E59" i="2"/>
  <c r="D28" i="2"/>
  <c r="F23" i="2"/>
  <c r="G54" i="2"/>
  <c r="G57" i="2" s="1"/>
  <c r="I34" i="2"/>
  <c r="I56" i="2"/>
  <c r="I37" i="2"/>
  <c r="E45" i="2"/>
  <c r="D24" i="2"/>
  <c r="G23" i="2" l="1"/>
  <c r="H54" i="2"/>
  <c r="H57" i="2" s="1"/>
  <c r="E16" i="2"/>
  <c r="E17" i="2" s="1"/>
  <c r="D29" i="2"/>
  <c r="D30" i="2" s="1"/>
  <c r="E51" i="2"/>
  <c r="E42" i="2" s="1"/>
  <c r="E61" i="2" l="1"/>
  <c r="E41" i="2" s="1"/>
  <c r="E43" i="2" s="1"/>
  <c r="E33" i="2"/>
  <c r="E38" i="2" s="1"/>
  <c r="E60" i="2"/>
  <c r="E52" i="2"/>
  <c r="H23" i="2"/>
  <c r="I54" i="2"/>
  <c r="I57" i="2" s="1"/>
  <c r="I23" i="2" s="1"/>
  <c r="F50" i="2" l="1"/>
  <c r="F14" i="2"/>
  <c r="F15" i="2" s="1"/>
  <c r="E26" i="2"/>
  <c r="E27" i="2" s="1"/>
  <c r="E62" i="2"/>
  <c r="E44" i="2"/>
  <c r="E46" i="2" s="1"/>
  <c r="E20" i="2" s="1"/>
  <c r="F45" i="2" l="1"/>
  <c r="E24" i="2"/>
  <c r="E28" i="2"/>
  <c r="F59" i="2"/>
  <c r="E29" i="2"/>
  <c r="F16" i="2"/>
  <c r="F17" i="2" s="1"/>
  <c r="F51" i="2"/>
  <c r="F42" i="2" s="1"/>
  <c r="F61" i="2" l="1"/>
  <c r="F41" i="2" s="1"/>
  <c r="F43" i="2" s="1"/>
  <c r="F33" i="2"/>
  <c r="F38" i="2" s="1"/>
  <c r="F44" i="2" s="1"/>
  <c r="F60" i="2"/>
  <c r="E30" i="2"/>
  <c r="F52" i="2"/>
  <c r="F62" i="2"/>
  <c r="F46" i="2"/>
  <c r="F20" i="2" s="1"/>
  <c r="G14" i="2" l="1"/>
  <c r="G15" i="2" s="1"/>
  <c r="G50" i="2"/>
  <c r="F26" i="2"/>
  <c r="F27" i="2" s="1"/>
  <c r="F24" i="2"/>
  <c r="G45" i="2"/>
  <c r="F28" i="2"/>
  <c r="G59" i="2"/>
  <c r="F29" i="2" l="1"/>
  <c r="F30" i="2"/>
  <c r="G51" i="2"/>
  <c r="G42" i="2" s="1"/>
  <c r="G16" i="2"/>
  <c r="G17" i="2" s="1"/>
  <c r="G61" i="2" l="1"/>
  <c r="G41" i="2" s="1"/>
  <c r="G43" i="2" s="1"/>
  <c r="G33" i="2"/>
  <c r="G38" i="2" s="1"/>
  <c r="G44" i="2" s="1"/>
  <c r="G46" i="2" s="1"/>
  <c r="G20" i="2" s="1"/>
  <c r="G60" i="2"/>
  <c r="G62" i="2" s="1"/>
  <c r="G52" i="2"/>
  <c r="H45" i="2" l="1"/>
  <c r="G24" i="2"/>
  <c r="H50" i="2"/>
  <c r="H14" i="2"/>
  <c r="H15" i="2" s="1"/>
  <c r="G26" i="2"/>
  <c r="G27" i="2" s="1"/>
  <c r="G28" i="2"/>
  <c r="H59" i="2"/>
  <c r="G29" i="2" l="1"/>
  <c r="H16" i="2"/>
  <c r="H17" i="2" s="1"/>
  <c r="H51" i="2"/>
  <c r="H42" i="2" s="1"/>
  <c r="G30" i="2"/>
  <c r="H33" i="2" l="1"/>
  <c r="H38" i="2" s="1"/>
  <c r="H60" i="2"/>
  <c r="H61" i="2"/>
  <c r="H41" i="2" s="1"/>
  <c r="H43" i="2" s="1"/>
  <c r="H52" i="2"/>
  <c r="I14" i="2" l="1"/>
  <c r="I15" i="2" s="1"/>
  <c r="H26" i="2"/>
  <c r="H27" i="2" s="1"/>
  <c r="I50" i="2"/>
  <c r="H62" i="2"/>
  <c r="H44" i="2"/>
  <c r="H46" i="2" s="1"/>
  <c r="H20" i="2" s="1"/>
  <c r="I45" i="2" l="1"/>
  <c r="H24" i="2"/>
  <c r="H28" i="2"/>
  <c r="I59" i="2"/>
  <c r="I51" i="2"/>
  <c r="I42" i="2" s="1"/>
  <c r="H29" i="2"/>
  <c r="I16" i="2"/>
  <c r="I17" i="2" s="1"/>
  <c r="I33" i="2" l="1"/>
  <c r="I38" i="2" s="1"/>
  <c r="B65" i="2"/>
  <c r="I60" i="2"/>
  <c r="I61" i="2"/>
  <c r="I41" i="2" s="1"/>
  <c r="I43" i="2" s="1"/>
  <c r="I52" i="2"/>
  <c r="I26" i="2" s="1"/>
  <c r="H30" i="2"/>
  <c r="I62" i="2" l="1"/>
  <c r="I28" i="2" s="1"/>
  <c r="B70" i="2"/>
  <c r="I27" i="2"/>
  <c r="I29" i="2" s="1"/>
  <c r="B67" i="2" s="1"/>
  <c r="I44" i="2"/>
  <c r="I46" i="2" s="1"/>
  <c r="I20" i="2" s="1"/>
  <c r="B69" i="2" l="1"/>
  <c r="I24" i="2"/>
  <c r="I30" i="2" l="1"/>
  <c r="B68" i="2" s="1"/>
  <c r="B66" i="2"/>
</calcChain>
</file>

<file path=xl/sharedStrings.xml><?xml version="1.0" encoding="utf-8"?>
<sst xmlns="http://schemas.openxmlformats.org/spreadsheetml/2006/main" count="122" uniqueCount="101">
  <si>
    <t>MfgCo — 3-Statement Model (BM-3S-001) — Assumptions &amp; Drivers</t>
  </si>
  <si>
    <t>Synthetic benchmark deal. USD millions; 365-day year. Blue = hard-coded input; all other cells are formulas.</t>
  </si>
  <si>
    <t>Historicals (USD m)</t>
  </si>
  <si>
    <t>FY0</t>
  </si>
  <si>
    <t>FY1</t>
  </si>
  <si>
    <t>FY2</t>
  </si>
  <si>
    <t>Revenue</t>
  </si>
  <si>
    <t>EBITDA</t>
  </si>
  <si>
    <t>Opening balance sheet (anchors t = 0)</t>
  </si>
  <si>
    <t>Cash</t>
  </si>
  <si>
    <t>Accounts receivable</t>
  </si>
  <si>
    <t>Inventory</t>
  </si>
  <si>
    <t>Net PP&amp;E</t>
  </si>
  <si>
    <t>Accounts payable</t>
  </si>
  <si>
    <t>Debt</t>
  </si>
  <si>
    <t>Equity</t>
  </si>
  <si>
    <t>Check: opening assets - opening L&amp;E</t>
  </si>
  <si>
    <t>Projection drivers (t = 3..7)</t>
  </si>
  <si>
    <t>FY3</t>
  </si>
  <si>
    <t>FY4</t>
  </si>
  <si>
    <t>FY5</t>
  </si>
  <si>
    <t>FY6</t>
  </si>
  <si>
    <t>FY7</t>
  </si>
  <si>
    <t>Revenue growth</t>
  </si>
  <si>
    <t>EBITDA margin</t>
  </si>
  <si>
    <t>Constant drivers (apply to all columns t = 0..7)</t>
  </si>
  <si>
    <t>D&amp;A (% of revenue)</t>
  </si>
  <si>
    <t>Interest rate on debt (on opening balance)</t>
  </si>
  <si>
    <t>Tax rate (on positive EBT only)</t>
  </si>
  <si>
    <t>Receivable days (DSO)</t>
  </si>
  <si>
    <t>Inventory days (on revenue — stated simplification)</t>
  </si>
  <si>
    <t>Payable days (on revenue — stated simplification)</t>
  </si>
  <si>
    <t>Capex (% of revenue)</t>
  </si>
  <si>
    <t>Dividend payout (% of positive net income)</t>
  </si>
  <si>
    <t>Debt amortization ($m per year, floored at 0)</t>
  </si>
  <si>
    <t>Days in year</t>
  </si>
  <si>
    <t>MfgCo — Integrated 3-Statement Model (BM-3S-001)</t>
  </si>
  <si>
    <t>USD millions; 365-day year. Balance sheet anchored at t=0; working capital &amp; PP&amp;E driver-linked from t=1. CFS from t=1.</t>
  </si>
  <si>
    <t>USD millions</t>
  </si>
  <si>
    <t>Hist.</t>
  </si>
  <si>
    <t>Proj.</t>
  </si>
  <si>
    <t>INCOME STATEMENT</t>
  </si>
  <si>
    <t xml:space="preserve">  Revenue growth (%)</t>
  </si>
  <si>
    <t>n.a.</t>
  </si>
  <si>
    <t xml:space="preserve">  EBITDA margin (%)</t>
  </si>
  <si>
    <t>Less: D&amp;A (5.5% of revenue)</t>
  </si>
  <si>
    <t>EBIT</t>
  </si>
  <si>
    <t>Less: Interest expense (6.0% on opening debt)</t>
  </si>
  <si>
    <t>EBT</t>
  </si>
  <si>
    <t>Less: Taxes (25% of positive EBT)</t>
  </si>
  <si>
    <t>Net income</t>
  </si>
  <si>
    <t>BALANCE SHEET</t>
  </si>
  <si>
    <t>Accounts receivable (DSO 55)</t>
  </si>
  <si>
    <t>Inventory (60 days on revenue)</t>
  </si>
  <si>
    <t>Total assets</t>
  </si>
  <si>
    <t>Accounts payable (40 days on revenue)</t>
  </si>
  <si>
    <t>Total liabilities</t>
  </si>
  <si>
    <t>Total liabilities &amp; equity</t>
  </si>
  <si>
    <t>Balance check: assets - (liabilities + equity)</t>
  </si>
  <si>
    <t>CASH FLOW STATEMENT (indirect; from t = 1)</t>
  </si>
  <si>
    <t>Plus: D&amp;A</t>
  </si>
  <si>
    <t>(Increase) / decrease in accounts receivable</t>
  </si>
  <si>
    <t>(Increase) / decrease in inventory</t>
  </si>
  <si>
    <t>Increase / (decrease) in accounts payable</t>
  </si>
  <si>
    <t>Cash flow from operations</t>
  </si>
  <si>
    <t>Less: Capex</t>
  </si>
  <si>
    <t>Cash flow from investing</t>
  </si>
  <si>
    <t>Less: Dividends paid</t>
  </si>
  <si>
    <t>Less: Debt repayment</t>
  </si>
  <si>
    <t>Cash flow from financing</t>
  </si>
  <si>
    <t>Net change in cash</t>
  </si>
  <si>
    <t>Beginning cash</t>
  </si>
  <si>
    <t>Ending cash</t>
  </si>
  <si>
    <t>SUPPORTING SCHEDULES</t>
  </si>
  <si>
    <t>Debt schedule</t>
  </si>
  <si>
    <t xml:space="preserve">  Beginning debt</t>
  </si>
  <si>
    <t xml:space="preserve">  Less: Scheduled repayment ($20.0m/yr, floored at 0)</t>
  </si>
  <si>
    <t xml:space="preserve">  Ending debt</t>
  </si>
  <si>
    <t>PP&amp;E schedule</t>
  </si>
  <si>
    <t xml:space="preserve">  Beginning net PP&amp;E</t>
  </si>
  <si>
    <t xml:space="preserve">  Plus: Capex (6.0% of revenue)</t>
  </si>
  <si>
    <t xml:space="preserve">  Less: D&amp;A</t>
  </si>
  <si>
    <t xml:space="preserve">  Ending net PP&amp;E</t>
  </si>
  <si>
    <t>Equity schedule</t>
  </si>
  <si>
    <t xml:space="preserve">  Beginning equity</t>
  </si>
  <si>
    <t xml:space="preserve">  Plus: Net income</t>
  </si>
  <si>
    <t xml:space="preserve">  Less: Dividends (30% of positive net income)</t>
  </si>
  <si>
    <t xml:space="preserve">  Ending equity</t>
  </si>
  <si>
    <t>HEADLINE OUTPUTS (final projection year, t = 7 = FY7)</t>
  </si>
  <si>
    <t>final_net_income</t>
  </si>
  <si>
    <t>Net income, final year ($m)</t>
  </si>
  <si>
    <t>final_total_assets</t>
  </si>
  <si>
    <t>Total assets, final year ($m)</t>
  </si>
  <si>
    <t>final_total_liabilities_equity</t>
  </si>
  <si>
    <t>Total liabilities + equity, final year ($m)</t>
  </si>
  <si>
    <t>final_balance_check</t>
  </si>
  <si>
    <t>Assets - (liabilities + equity), final year (must be ~0)</t>
  </si>
  <si>
    <t>final_cash</t>
  </si>
  <si>
    <t>Ending cash, final year ($m)</t>
  </si>
  <si>
    <t>final_debt</t>
  </si>
  <si>
    <t>Ending debt, final year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</si>
</sst>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"/>
    <numFmt numFmtId="165" formatCode="0.000;\(0.000\)"/>
    <numFmt numFmtId="166" formatCode="0.0%"/>
    <numFmt numFmtId="167" formatCode="#,##0.00;\(#,##0.00\)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808080"/>
      <name val="Calibri"/>
    </font>
    <font>
      <b/>
      <sz val="10"/>
      <color rgb="FF1F4E79"/>
      <name val="Calibri"/>
    </font>
    <font>
      <sz val="10"/>
      <color rgb="FF000000"/>
      <name val="Calibri"/>
    </font>
    <font>
      <sz val="10"/>
      <color rgb="FF0000FF"/>
      <name val="Calibri"/>
    </font>
    <font>
      <b/>
      <sz val="10"/>
      <name val="Calibri"/>
    </font>
    <font>
      <sz val="10"/>
      <color rgb="FF006100"/>
      <name val="Calibri"/>
    </font>
    <font>
      <b/>
      <sz val="10"/>
      <color rgb="FF000000"/>
      <name val="Calibri"/>
    </font>
    <font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" fontId="5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7" fillId="0" borderId="0" xfId="0" applyNumberFormat="1" applyFont="1"/>
    <xf numFmtId="164" fontId="4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/>
    <xf numFmtId="164" fontId="8" fillId="0" borderId="2" xfId="0" applyNumberFormat="1" applyFont="1" applyBorder="1"/>
    <xf numFmtId="0" fontId="3" fillId="4" borderId="0" xfId="0" applyFont="1" applyFill="1"/>
    <xf numFmtId="165" fontId="8" fillId="4" borderId="0" xfId="0" applyNumberFormat="1" applyFont="1" applyFill="1"/>
    <xf numFmtId="0" fontId="3" fillId="0" borderId="0" xfId="0" applyFont="1"/>
    <xf numFmtId="0" fontId="9" fillId="0" borderId="0" xfId="0" applyFont="1"/>
    <xf numFmtId="167" fontId="8" fillId="0" borderId="0" xfId="0" applyNumberFormat="1" applyFont="1"/>
    <xf numFmtId="165" fontId="8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showGridLines="0" tabSelected="1" workbookViewId="0"/>
  </sheetViews>
  <sheetFormatPr defaultRowHeight="15" x14ac:dyDescent="0.25"/>
  <cols>
    <col min="1" max="1" width="46" customWidth="1"/>
    <col min="2" max="6" width="1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</row>
    <row r="4" spans="1:6" x14ac:dyDescent="0.25">
      <c r="A4" s="4" t="s">
        <v>2</v>
      </c>
      <c r="B4" s="5"/>
      <c r="C4" s="5"/>
      <c r="D4" s="5"/>
      <c r="E4" s="5"/>
      <c r="F4" s="5"/>
    </row>
    <row r="5" spans="1:6" x14ac:dyDescent="0.25">
      <c r="B5" s="6" t="s">
        <v>3</v>
      </c>
      <c r="C5" s="6" t="s">
        <v>4</v>
      </c>
      <c r="D5" s="6" t="s">
        <v>5</v>
      </c>
    </row>
    <row r="6" spans="1:6" x14ac:dyDescent="0.25">
      <c r="A6" s="7" t="s">
        <v>6</v>
      </c>
      <c r="B6" s="8">
        <v>540</v>
      </c>
      <c r="C6" s="8">
        <v>570</v>
      </c>
      <c r="D6" s="8">
        <v>600</v>
      </c>
    </row>
    <row r="7" spans="1:6" x14ac:dyDescent="0.25">
      <c r="A7" s="7" t="s">
        <v>7</v>
      </c>
      <c r="B7" s="8">
        <v>70.2</v>
      </c>
      <c r="C7" s="8">
        <v>76.95</v>
      </c>
      <c r="D7" s="8">
        <v>84</v>
      </c>
    </row>
    <row r="9" spans="1:6" x14ac:dyDescent="0.25">
      <c r="A9" s="4" t="s">
        <v>8</v>
      </c>
      <c r="B9" s="5"/>
      <c r="C9" s="5"/>
      <c r="D9" s="5"/>
      <c r="E9" s="5"/>
      <c r="F9" s="5"/>
    </row>
    <row r="10" spans="1:6" x14ac:dyDescent="0.25">
      <c r="A10" s="7" t="s">
        <v>9</v>
      </c>
      <c r="B10" s="8">
        <v>40</v>
      </c>
    </row>
    <row r="11" spans="1:6" x14ac:dyDescent="0.25">
      <c r="A11" s="7" t="s">
        <v>10</v>
      </c>
      <c r="B11" s="8">
        <v>90</v>
      </c>
    </row>
    <row r="12" spans="1:6" x14ac:dyDescent="0.25">
      <c r="A12" s="7" t="s">
        <v>11</v>
      </c>
      <c r="B12" s="8">
        <v>75</v>
      </c>
    </row>
    <row r="13" spans="1:6" x14ac:dyDescent="0.25">
      <c r="A13" s="7" t="s">
        <v>12</v>
      </c>
      <c r="B13" s="8">
        <v>250</v>
      </c>
    </row>
    <row r="14" spans="1:6" x14ac:dyDescent="0.25">
      <c r="A14" s="7" t="s">
        <v>13</v>
      </c>
      <c r="B14" s="8">
        <v>55</v>
      </c>
    </row>
    <row r="15" spans="1:6" x14ac:dyDescent="0.25">
      <c r="A15" s="7" t="s">
        <v>14</v>
      </c>
      <c r="B15" s="8">
        <v>180</v>
      </c>
    </row>
    <row r="16" spans="1:6" x14ac:dyDescent="0.25">
      <c r="A16" s="7" t="s">
        <v>15</v>
      </c>
      <c r="B16" s="8">
        <v>220</v>
      </c>
    </row>
    <row r="17" spans="1:6" x14ac:dyDescent="0.25">
      <c r="A17" s="7" t="s">
        <v>16</v>
      </c>
      <c r="B17" s="9">
        <f>(B10+B11+B12+B13)-(B14+B15+B16)</f>
        <v>0</v>
      </c>
    </row>
    <row r="19" spans="1:6" x14ac:dyDescent="0.25">
      <c r="A19" s="4" t="s">
        <v>17</v>
      </c>
      <c r="B19" s="5"/>
      <c r="C19" s="5"/>
      <c r="D19" s="5"/>
      <c r="E19" s="5"/>
      <c r="F19" s="5"/>
    </row>
    <row r="20" spans="1:6" x14ac:dyDescent="0.25">
      <c r="B20" s="6" t="s">
        <v>18</v>
      </c>
      <c r="C20" s="6" t="s">
        <v>19</v>
      </c>
      <c r="D20" s="6" t="s">
        <v>20</v>
      </c>
      <c r="E20" s="6" t="s">
        <v>21</v>
      </c>
      <c r="F20" s="6" t="s">
        <v>22</v>
      </c>
    </row>
    <row r="21" spans="1:6" x14ac:dyDescent="0.25">
      <c r="A21" s="7" t="s">
        <v>23</v>
      </c>
      <c r="B21" s="10">
        <v>0.05</v>
      </c>
      <c r="C21" s="10">
        <v>4.4999999999999998E-2</v>
      </c>
      <c r="D21" s="10">
        <v>0.04</v>
      </c>
      <c r="E21" s="10">
        <v>3.5000000000000003E-2</v>
      </c>
      <c r="F21" s="10">
        <v>0.03</v>
      </c>
    </row>
    <row r="22" spans="1:6" x14ac:dyDescent="0.25">
      <c r="A22" s="7" t="s">
        <v>24</v>
      </c>
      <c r="B22" s="10">
        <v>0.14000000000000001</v>
      </c>
      <c r="C22" s="10">
        <v>0.14499999999999999</v>
      </c>
      <c r="D22" s="10">
        <v>0.15</v>
      </c>
      <c r="E22" s="10">
        <v>0.15</v>
      </c>
      <c r="F22" s="10">
        <v>0.15</v>
      </c>
    </row>
    <row r="24" spans="1:6" x14ac:dyDescent="0.25">
      <c r="A24" s="4" t="s">
        <v>25</v>
      </c>
      <c r="B24" s="5"/>
      <c r="C24" s="5"/>
      <c r="D24" s="5"/>
      <c r="E24" s="5"/>
      <c r="F24" s="5"/>
    </row>
    <row r="25" spans="1:6" x14ac:dyDescent="0.25">
      <c r="A25" s="7" t="s">
        <v>26</v>
      </c>
      <c r="B25" s="10">
        <v>5.5E-2</v>
      </c>
    </row>
    <row r="26" spans="1:6" x14ac:dyDescent="0.25">
      <c r="A26" s="7" t="s">
        <v>27</v>
      </c>
      <c r="B26" s="10">
        <v>0.06</v>
      </c>
    </row>
    <row r="27" spans="1:6" x14ac:dyDescent="0.25">
      <c r="A27" s="7" t="s">
        <v>28</v>
      </c>
      <c r="B27" s="10">
        <v>0.25</v>
      </c>
    </row>
    <row r="28" spans="1:6" x14ac:dyDescent="0.25">
      <c r="A28" s="7" t="s">
        <v>29</v>
      </c>
      <c r="B28" s="11">
        <v>55</v>
      </c>
    </row>
    <row r="29" spans="1:6" x14ac:dyDescent="0.25">
      <c r="A29" s="7" t="s">
        <v>30</v>
      </c>
      <c r="B29" s="11">
        <v>60</v>
      </c>
    </row>
    <row r="30" spans="1:6" x14ac:dyDescent="0.25">
      <c r="A30" s="7" t="s">
        <v>31</v>
      </c>
      <c r="B30" s="11">
        <v>40</v>
      </c>
    </row>
    <row r="31" spans="1:6" x14ac:dyDescent="0.25">
      <c r="A31" s="7" t="s">
        <v>32</v>
      </c>
      <c r="B31" s="10">
        <v>0.06</v>
      </c>
    </row>
    <row r="32" spans="1:6" x14ac:dyDescent="0.25">
      <c r="A32" s="7" t="s">
        <v>33</v>
      </c>
      <c r="B32" s="10">
        <v>0.3</v>
      </c>
    </row>
    <row r="33" spans="1:2" x14ac:dyDescent="0.25">
      <c r="A33" s="7" t="s">
        <v>34</v>
      </c>
      <c r="B33" s="8">
        <v>20</v>
      </c>
    </row>
    <row r="34" spans="1:2" x14ac:dyDescent="0.25">
      <c r="A34" s="7" t="s">
        <v>35</v>
      </c>
      <c r="B34" s="11">
        <v>365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8" customWidth="1"/>
    <col min="2" max="9" width="11" customWidth="1"/>
  </cols>
  <sheetData>
    <row r="1" spans="1:9" ht="15.75" x14ac:dyDescent="0.25">
      <c r="A1" s="1" t="s">
        <v>36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37</v>
      </c>
    </row>
    <row r="4" spans="1:9" x14ac:dyDescent="0.25">
      <c r="A4" s="12" t="s">
        <v>38</v>
      </c>
      <c r="B4" s="13" t="s">
        <v>3</v>
      </c>
      <c r="C4" s="13" t="s">
        <v>4</v>
      </c>
      <c r="D4" s="13" t="s">
        <v>5</v>
      </c>
      <c r="E4" s="13" t="s">
        <v>18</v>
      </c>
      <c r="F4" s="13" t="s">
        <v>19</v>
      </c>
      <c r="G4" s="13" t="s">
        <v>20</v>
      </c>
      <c r="H4" s="13" t="s">
        <v>21</v>
      </c>
      <c r="I4" s="13" t="s">
        <v>22</v>
      </c>
    </row>
    <row r="5" spans="1:9" x14ac:dyDescent="0.25">
      <c r="B5" s="14" t="s">
        <v>39</v>
      </c>
      <c r="C5" s="14" t="s">
        <v>39</v>
      </c>
      <c r="D5" s="14" t="s">
        <v>39</v>
      </c>
      <c r="E5" s="14" t="s">
        <v>40</v>
      </c>
      <c r="F5" s="14" t="s">
        <v>40</v>
      </c>
      <c r="G5" s="14" t="s">
        <v>40</v>
      </c>
      <c r="H5" s="14" t="s">
        <v>40</v>
      </c>
      <c r="I5" s="14" t="s">
        <v>40</v>
      </c>
    </row>
    <row r="7" spans="1:9" x14ac:dyDescent="0.25">
      <c r="A7" s="4" t="s">
        <v>41</v>
      </c>
      <c r="B7" s="5"/>
      <c r="C7" s="5"/>
      <c r="D7" s="5"/>
      <c r="E7" s="5"/>
      <c r="F7" s="5"/>
      <c r="G7" s="5"/>
      <c r="H7" s="5"/>
      <c r="I7" s="5"/>
    </row>
    <row r="8" spans="1:9" x14ac:dyDescent="0.25">
      <c r="A8" s="7" t="s">
        <v>6</v>
      </c>
      <c r="B8" s="15">
        <f>Assumptions!B6</f>
        <v>540</v>
      </c>
      <c r="C8" s="15">
        <f>Assumptions!C6</f>
        <v>570</v>
      </c>
      <c r="D8" s="15">
        <f>Assumptions!D6</f>
        <v>600</v>
      </c>
      <c r="E8" s="16">
        <f>D8*(1+Assumptions!B21)</f>
        <v>630</v>
      </c>
      <c r="F8" s="16">
        <f>E8*(1+Assumptions!C21)</f>
        <v>658.34999999999991</v>
      </c>
      <c r="G8" s="16">
        <f>F8*(1+Assumptions!D21)</f>
        <v>684.68399999999997</v>
      </c>
      <c r="H8" s="16">
        <f>G8*(1+Assumptions!E21)</f>
        <v>708.64793999999995</v>
      </c>
      <c r="I8" s="16">
        <f>H8*(1+Assumptions!F21)</f>
        <v>729.90737819999993</v>
      </c>
    </row>
    <row r="9" spans="1:9" x14ac:dyDescent="0.25">
      <c r="A9" s="3" t="s">
        <v>42</v>
      </c>
      <c r="B9" s="17" t="s">
        <v>43</v>
      </c>
      <c r="C9" s="18">
        <f t="shared" ref="C9:I9" si="0">C8/B8-1</f>
        <v>5.555555555555558E-2</v>
      </c>
      <c r="D9" s="18">
        <f t="shared" si="0"/>
        <v>5.2631578947368363E-2</v>
      </c>
      <c r="E9" s="18">
        <f t="shared" si="0"/>
        <v>5.0000000000000044E-2</v>
      </c>
      <c r="F9" s="18">
        <f t="shared" si="0"/>
        <v>4.4999999999999929E-2</v>
      </c>
      <c r="G9" s="18">
        <f t="shared" si="0"/>
        <v>4.0000000000000036E-2</v>
      </c>
      <c r="H9" s="18">
        <f t="shared" si="0"/>
        <v>3.499999999999992E-2</v>
      </c>
      <c r="I9" s="18">
        <f t="shared" si="0"/>
        <v>3.0000000000000027E-2</v>
      </c>
    </row>
    <row r="10" spans="1:9" x14ac:dyDescent="0.25">
      <c r="A10" s="7" t="s">
        <v>7</v>
      </c>
      <c r="B10" s="15">
        <f>Assumptions!B7</f>
        <v>70.2</v>
      </c>
      <c r="C10" s="15">
        <f>Assumptions!C7</f>
        <v>76.95</v>
      </c>
      <c r="D10" s="15">
        <f>Assumptions!D7</f>
        <v>84</v>
      </c>
      <c r="E10" s="16">
        <f>E8*Assumptions!B22</f>
        <v>88.2</v>
      </c>
      <c r="F10" s="16">
        <f>F8*Assumptions!C22</f>
        <v>95.460749999999976</v>
      </c>
      <c r="G10" s="16">
        <f>G8*Assumptions!D22</f>
        <v>102.70259999999999</v>
      </c>
      <c r="H10" s="16">
        <f>H8*Assumptions!E22</f>
        <v>106.29719099999998</v>
      </c>
      <c r="I10" s="16">
        <f>I8*Assumptions!F22</f>
        <v>109.48610672999999</v>
      </c>
    </row>
    <row r="11" spans="1:9" x14ac:dyDescent="0.25">
      <c r="A11" s="3" t="s">
        <v>44</v>
      </c>
      <c r="B11" s="18">
        <f t="shared" ref="B11:I11" si="1">B10/B8</f>
        <v>0.13</v>
      </c>
      <c r="C11" s="18">
        <f t="shared" si="1"/>
        <v>0.13500000000000001</v>
      </c>
      <c r="D11" s="18">
        <f t="shared" si="1"/>
        <v>0.14000000000000001</v>
      </c>
      <c r="E11" s="18">
        <f t="shared" si="1"/>
        <v>0.14000000000000001</v>
      </c>
      <c r="F11" s="18">
        <f t="shared" si="1"/>
        <v>0.14499999999999999</v>
      </c>
      <c r="G11" s="18">
        <f t="shared" si="1"/>
        <v>0.15</v>
      </c>
      <c r="H11" s="18">
        <f t="shared" si="1"/>
        <v>0.15</v>
      </c>
      <c r="I11" s="18">
        <f t="shared" si="1"/>
        <v>0.15</v>
      </c>
    </row>
    <row r="12" spans="1:9" x14ac:dyDescent="0.25">
      <c r="A12" s="7" t="s">
        <v>45</v>
      </c>
      <c r="B12" s="16">
        <f t="shared" ref="B12:I12" si="2">B8*DnA_Pct</f>
        <v>29.7</v>
      </c>
      <c r="C12" s="16">
        <f t="shared" si="2"/>
        <v>31.35</v>
      </c>
      <c r="D12" s="16">
        <f t="shared" si="2"/>
        <v>33</v>
      </c>
      <c r="E12" s="16">
        <f t="shared" si="2"/>
        <v>34.65</v>
      </c>
      <c r="F12" s="16">
        <f t="shared" si="2"/>
        <v>36.209249999999997</v>
      </c>
      <c r="G12" s="16">
        <f t="shared" si="2"/>
        <v>37.657620000000001</v>
      </c>
      <c r="H12" s="16">
        <f t="shared" si="2"/>
        <v>38.975636699999995</v>
      </c>
      <c r="I12" s="16">
        <f t="shared" si="2"/>
        <v>40.144905800999993</v>
      </c>
    </row>
    <row r="13" spans="1:9" x14ac:dyDescent="0.25">
      <c r="A13" s="7" t="s">
        <v>46</v>
      </c>
      <c r="B13" s="16">
        <f t="shared" ref="B13:I13" si="3">B10-B12</f>
        <v>40.5</v>
      </c>
      <c r="C13" s="16">
        <f t="shared" si="3"/>
        <v>45.6</v>
      </c>
      <c r="D13" s="16">
        <f t="shared" si="3"/>
        <v>51</v>
      </c>
      <c r="E13" s="16">
        <f t="shared" si="3"/>
        <v>53.550000000000004</v>
      </c>
      <c r="F13" s="16">
        <f t="shared" si="3"/>
        <v>59.251499999999979</v>
      </c>
      <c r="G13" s="16">
        <f t="shared" si="3"/>
        <v>65.044979999999981</v>
      </c>
      <c r="H13" s="16">
        <f t="shared" si="3"/>
        <v>67.321554299999988</v>
      </c>
      <c r="I13" s="16">
        <f t="shared" si="3"/>
        <v>69.341200928999996</v>
      </c>
    </row>
    <row r="14" spans="1:9" x14ac:dyDescent="0.25">
      <c r="A14" s="7" t="s">
        <v>47</v>
      </c>
      <c r="B14" s="16">
        <f>IntRate*B52</f>
        <v>10.799999999999999</v>
      </c>
      <c r="C14" s="16">
        <f t="shared" ref="C14:I14" si="4">IntRate*B52</f>
        <v>10.799999999999999</v>
      </c>
      <c r="D14" s="16">
        <f t="shared" si="4"/>
        <v>9.6</v>
      </c>
      <c r="E14" s="16">
        <f t="shared" si="4"/>
        <v>8.4</v>
      </c>
      <c r="F14" s="16">
        <f t="shared" si="4"/>
        <v>7.1999999999999993</v>
      </c>
      <c r="G14" s="16">
        <f t="shared" si="4"/>
        <v>6</v>
      </c>
      <c r="H14" s="16">
        <f t="shared" si="4"/>
        <v>4.8</v>
      </c>
      <c r="I14" s="16">
        <f t="shared" si="4"/>
        <v>3.5999999999999996</v>
      </c>
    </row>
    <row r="15" spans="1:9" x14ac:dyDescent="0.25">
      <c r="A15" s="7" t="s">
        <v>48</v>
      </c>
      <c r="B15" s="16">
        <f t="shared" ref="B15:I15" si="5">B13-B14</f>
        <v>29.700000000000003</v>
      </c>
      <c r="C15" s="16">
        <f t="shared" si="5"/>
        <v>34.800000000000004</v>
      </c>
      <c r="D15" s="16">
        <f t="shared" si="5"/>
        <v>41.4</v>
      </c>
      <c r="E15" s="16">
        <f t="shared" si="5"/>
        <v>45.150000000000006</v>
      </c>
      <c r="F15" s="16">
        <f t="shared" si="5"/>
        <v>52.051499999999976</v>
      </c>
      <c r="G15" s="16">
        <f t="shared" si="5"/>
        <v>59.044979999999981</v>
      </c>
      <c r="H15" s="16">
        <f t="shared" si="5"/>
        <v>62.521554299999991</v>
      </c>
      <c r="I15" s="16">
        <f t="shared" si="5"/>
        <v>65.741200929000001</v>
      </c>
    </row>
    <row r="16" spans="1:9" x14ac:dyDescent="0.25">
      <c r="A16" s="7" t="s">
        <v>49</v>
      </c>
      <c r="B16" s="16">
        <f t="shared" ref="B16:I16" si="6">MAX(B15,0)*TaxRate</f>
        <v>7.4250000000000007</v>
      </c>
      <c r="C16" s="16">
        <f t="shared" si="6"/>
        <v>8.7000000000000011</v>
      </c>
      <c r="D16" s="16">
        <f t="shared" si="6"/>
        <v>10.35</v>
      </c>
      <c r="E16" s="16">
        <f t="shared" si="6"/>
        <v>11.287500000000001</v>
      </c>
      <c r="F16" s="16">
        <f t="shared" si="6"/>
        <v>13.012874999999994</v>
      </c>
      <c r="G16" s="16">
        <f t="shared" si="6"/>
        <v>14.761244999999995</v>
      </c>
      <c r="H16" s="16">
        <f t="shared" si="6"/>
        <v>15.630388574999998</v>
      </c>
      <c r="I16" s="16">
        <f t="shared" si="6"/>
        <v>16.43530023225</v>
      </c>
    </row>
    <row r="17" spans="1:9" x14ac:dyDescent="0.25">
      <c r="A17" s="7" t="s">
        <v>50</v>
      </c>
      <c r="B17" s="19">
        <f t="shared" ref="B17:I17" si="7">B15-B16</f>
        <v>22.275000000000002</v>
      </c>
      <c r="C17" s="19">
        <f t="shared" si="7"/>
        <v>26.1</v>
      </c>
      <c r="D17" s="19">
        <f t="shared" si="7"/>
        <v>31.049999999999997</v>
      </c>
      <c r="E17" s="19">
        <f t="shared" si="7"/>
        <v>33.862500000000004</v>
      </c>
      <c r="F17" s="19">
        <f t="shared" si="7"/>
        <v>39.038624999999982</v>
      </c>
      <c r="G17" s="19">
        <f t="shared" si="7"/>
        <v>44.283734999999986</v>
      </c>
      <c r="H17" s="19">
        <f t="shared" si="7"/>
        <v>46.891165724999993</v>
      </c>
      <c r="I17" s="19">
        <f t="shared" si="7"/>
        <v>49.305900696750001</v>
      </c>
    </row>
    <row r="19" spans="1:9" x14ac:dyDescent="0.25">
      <c r="A19" s="4" t="s">
        <v>51</v>
      </c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7" t="s">
        <v>9</v>
      </c>
      <c r="B20" s="15">
        <f>Assumptions!B10</f>
        <v>40</v>
      </c>
      <c r="C20" s="16">
        <f t="shared" ref="C20:I20" si="8">C46</f>
        <v>28.296712328767136</v>
      </c>
      <c r="D20" s="16">
        <f t="shared" si="8"/>
        <v>20.867328767123304</v>
      </c>
      <c r="E20" s="16">
        <f t="shared" si="8"/>
        <v>15.256695205479463</v>
      </c>
      <c r="F20" s="16">
        <f t="shared" si="8"/>
        <v>13.466640239726065</v>
      </c>
      <c r="G20" s="16">
        <f t="shared" si="8"/>
        <v>15.630738849315083</v>
      </c>
      <c r="H20" s="16">
        <f t="shared" si="8"/>
        <v>19.987217896541114</v>
      </c>
      <c r="I20" s="16">
        <f t="shared" si="8"/>
        <v>26.483433780937343</v>
      </c>
    </row>
    <row r="21" spans="1:9" x14ac:dyDescent="0.25">
      <c r="A21" s="7" t="s">
        <v>52</v>
      </c>
      <c r="B21" s="15">
        <f>Assumptions!B11</f>
        <v>90</v>
      </c>
      <c r="C21" s="16">
        <f t="shared" ref="C21:I21" si="9">C8*DSO_Days/DaysYear</f>
        <v>85.890410958904113</v>
      </c>
      <c r="D21" s="16">
        <f t="shared" si="9"/>
        <v>90.410958904109592</v>
      </c>
      <c r="E21" s="16">
        <f t="shared" si="9"/>
        <v>94.93150684931507</v>
      </c>
      <c r="F21" s="16">
        <f t="shared" si="9"/>
        <v>99.203424657534228</v>
      </c>
      <c r="G21" s="16">
        <f t="shared" si="9"/>
        <v>103.1715616438356</v>
      </c>
      <c r="H21" s="16">
        <f t="shared" si="9"/>
        <v>106.78256630136985</v>
      </c>
      <c r="I21" s="16">
        <f t="shared" si="9"/>
        <v>109.98604329041095</v>
      </c>
    </row>
    <row r="22" spans="1:9" x14ac:dyDescent="0.25">
      <c r="A22" s="7" t="s">
        <v>53</v>
      </c>
      <c r="B22" s="15">
        <f>Assumptions!B12</f>
        <v>75</v>
      </c>
      <c r="C22" s="16">
        <f t="shared" ref="C22:I22" si="10">C8*DIO_Days/DaysYear</f>
        <v>93.698630136986296</v>
      </c>
      <c r="D22" s="16">
        <f t="shared" si="10"/>
        <v>98.630136986301366</v>
      </c>
      <c r="E22" s="16">
        <f t="shared" si="10"/>
        <v>103.56164383561644</v>
      </c>
      <c r="F22" s="16">
        <f t="shared" si="10"/>
        <v>108.22191780821916</v>
      </c>
      <c r="G22" s="16">
        <f t="shared" si="10"/>
        <v>112.55079452054795</v>
      </c>
      <c r="H22" s="16">
        <f t="shared" si="10"/>
        <v>116.49007232876711</v>
      </c>
      <c r="I22" s="16">
        <f t="shared" si="10"/>
        <v>119.98477449863013</v>
      </c>
    </row>
    <row r="23" spans="1:9" x14ac:dyDescent="0.25">
      <c r="A23" s="7" t="s">
        <v>12</v>
      </c>
      <c r="B23" s="16">
        <f t="shared" ref="B23:I23" si="11">B57</f>
        <v>250</v>
      </c>
      <c r="C23" s="16">
        <f t="shared" si="11"/>
        <v>252.85</v>
      </c>
      <c r="D23" s="16">
        <f t="shared" si="11"/>
        <v>255.85000000000002</v>
      </c>
      <c r="E23" s="16">
        <f t="shared" si="11"/>
        <v>259.00000000000006</v>
      </c>
      <c r="F23" s="16">
        <f t="shared" si="11"/>
        <v>262.29175000000004</v>
      </c>
      <c r="G23" s="16">
        <f t="shared" si="11"/>
        <v>265.71517</v>
      </c>
      <c r="H23" s="16">
        <f t="shared" si="11"/>
        <v>269.25840970000002</v>
      </c>
      <c r="I23" s="16">
        <f t="shared" si="11"/>
        <v>272.90794659100004</v>
      </c>
    </row>
    <row r="24" spans="1:9" x14ac:dyDescent="0.25">
      <c r="A24" s="7" t="s">
        <v>54</v>
      </c>
      <c r="B24" s="19">
        <f t="shared" ref="B24:I24" si="12">SUM(B20:B23)</f>
        <v>455</v>
      </c>
      <c r="C24" s="19">
        <f t="shared" si="12"/>
        <v>460.73575342465756</v>
      </c>
      <c r="D24" s="19">
        <f t="shared" si="12"/>
        <v>465.75842465753431</v>
      </c>
      <c r="E24" s="19">
        <f t="shared" si="12"/>
        <v>472.74984589041105</v>
      </c>
      <c r="F24" s="19">
        <f t="shared" si="12"/>
        <v>483.18373270547949</v>
      </c>
      <c r="G24" s="19">
        <f t="shared" si="12"/>
        <v>497.06826501369864</v>
      </c>
      <c r="H24" s="19">
        <f t="shared" si="12"/>
        <v>512.51826622667807</v>
      </c>
      <c r="I24" s="19">
        <f t="shared" si="12"/>
        <v>529.36219816097844</v>
      </c>
    </row>
    <row r="25" spans="1:9" x14ac:dyDescent="0.25">
      <c r="A25" s="7" t="s">
        <v>55</v>
      </c>
      <c r="B25" s="15">
        <f>Assumptions!B14</f>
        <v>55</v>
      </c>
      <c r="C25" s="16">
        <f t="shared" ref="C25:I25" si="13">C8*DPO_Days/DaysYear</f>
        <v>62.465753424657535</v>
      </c>
      <c r="D25" s="16">
        <f t="shared" si="13"/>
        <v>65.753424657534254</v>
      </c>
      <c r="E25" s="16">
        <f t="shared" si="13"/>
        <v>69.041095890410958</v>
      </c>
      <c r="F25" s="16">
        <f t="shared" si="13"/>
        <v>72.147945205479445</v>
      </c>
      <c r="G25" s="16">
        <f t="shared" si="13"/>
        <v>75.033863013698635</v>
      </c>
      <c r="H25" s="16">
        <f t="shared" si="13"/>
        <v>77.66004821917808</v>
      </c>
      <c r="I25" s="16">
        <f t="shared" si="13"/>
        <v>79.989849665753425</v>
      </c>
    </row>
    <row r="26" spans="1:9" x14ac:dyDescent="0.25">
      <c r="A26" s="7" t="s">
        <v>14</v>
      </c>
      <c r="B26" s="16">
        <f t="shared" ref="B26:I26" si="14">B52</f>
        <v>180</v>
      </c>
      <c r="C26" s="16">
        <f t="shared" si="14"/>
        <v>160</v>
      </c>
      <c r="D26" s="16">
        <f t="shared" si="14"/>
        <v>140</v>
      </c>
      <c r="E26" s="16">
        <f t="shared" si="14"/>
        <v>120</v>
      </c>
      <c r="F26" s="16">
        <f t="shared" si="14"/>
        <v>100</v>
      </c>
      <c r="G26" s="16">
        <f t="shared" si="14"/>
        <v>80</v>
      </c>
      <c r="H26" s="16">
        <f t="shared" si="14"/>
        <v>60</v>
      </c>
      <c r="I26" s="16">
        <f t="shared" si="14"/>
        <v>40</v>
      </c>
    </row>
    <row r="27" spans="1:9" x14ac:dyDescent="0.25">
      <c r="A27" s="7" t="s">
        <v>56</v>
      </c>
      <c r="B27" s="19">
        <f t="shared" ref="B27:I27" si="15">B25+B26</f>
        <v>235</v>
      </c>
      <c r="C27" s="19">
        <f t="shared" si="15"/>
        <v>222.46575342465752</v>
      </c>
      <c r="D27" s="19">
        <f t="shared" si="15"/>
        <v>205.75342465753425</v>
      </c>
      <c r="E27" s="19">
        <f t="shared" si="15"/>
        <v>189.04109589041096</v>
      </c>
      <c r="F27" s="19">
        <f t="shared" si="15"/>
        <v>172.14794520547946</v>
      </c>
      <c r="G27" s="19">
        <f t="shared" si="15"/>
        <v>155.03386301369864</v>
      </c>
      <c r="H27" s="19">
        <f t="shared" si="15"/>
        <v>137.66004821917807</v>
      </c>
      <c r="I27" s="19">
        <f t="shared" si="15"/>
        <v>119.98984966575343</v>
      </c>
    </row>
    <row r="28" spans="1:9" x14ac:dyDescent="0.25">
      <c r="A28" s="7" t="s">
        <v>15</v>
      </c>
      <c r="B28" s="16">
        <f t="shared" ref="B28:I28" si="16">B62</f>
        <v>220</v>
      </c>
      <c r="C28" s="16">
        <f t="shared" si="16"/>
        <v>238.26999999999998</v>
      </c>
      <c r="D28" s="16">
        <f t="shared" si="16"/>
        <v>260.005</v>
      </c>
      <c r="E28" s="16">
        <f t="shared" si="16"/>
        <v>283.70875000000001</v>
      </c>
      <c r="F28" s="16">
        <f t="shared" si="16"/>
        <v>311.03578749999997</v>
      </c>
      <c r="G28" s="16">
        <f t="shared" si="16"/>
        <v>342.03440199999994</v>
      </c>
      <c r="H28" s="16">
        <f t="shared" si="16"/>
        <v>374.85821800749994</v>
      </c>
      <c r="I28" s="16">
        <f t="shared" si="16"/>
        <v>409.37234849522497</v>
      </c>
    </row>
    <row r="29" spans="1:9" x14ac:dyDescent="0.25">
      <c r="A29" s="7" t="s">
        <v>57</v>
      </c>
      <c r="B29" s="19">
        <f t="shared" ref="B29:I29" si="17">B27+B28</f>
        <v>455</v>
      </c>
      <c r="C29" s="19">
        <f t="shared" si="17"/>
        <v>460.7357534246575</v>
      </c>
      <c r="D29" s="19">
        <f t="shared" si="17"/>
        <v>465.75842465753425</v>
      </c>
      <c r="E29" s="19">
        <f t="shared" si="17"/>
        <v>472.74984589041094</v>
      </c>
      <c r="F29" s="19">
        <f t="shared" si="17"/>
        <v>483.18373270547943</v>
      </c>
      <c r="G29" s="19">
        <f t="shared" si="17"/>
        <v>497.06826501369858</v>
      </c>
      <c r="H29" s="19">
        <f t="shared" si="17"/>
        <v>512.51826622667795</v>
      </c>
      <c r="I29" s="19">
        <f t="shared" si="17"/>
        <v>529.36219816097844</v>
      </c>
    </row>
    <row r="30" spans="1:9" x14ac:dyDescent="0.25">
      <c r="A30" s="20" t="s">
        <v>58</v>
      </c>
      <c r="B30" s="21">
        <f t="shared" ref="B30:I30" si="18">B24-B29</f>
        <v>0</v>
      </c>
      <c r="C30" s="21">
        <f t="shared" si="18"/>
        <v>0</v>
      </c>
      <c r="D30" s="21">
        <f t="shared" si="18"/>
        <v>0</v>
      </c>
      <c r="E30" s="21">
        <f t="shared" si="18"/>
        <v>0</v>
      </c>
      <c r="F30" s="21">
        <f t="shared" si="18"/>
        <v>0</v>
      </c>
      <c r="G30" s="21">
        <f t="shared" si="18"/>
        <v>0</v>
      </c>
      <c r="H30" s="21">
        <f t="shared" si="18"/>
        <v>0</v>
      </c>
      <c r="I30" s="21">
        <f t="shared" si="18"/>
        <v>0</v>
      </c>
    </row>
    <row r="32" spans="1:9" x14ac:dyDescent="0.25">
      <c r="A32" s="4" t="s">
        <v>59</v>
      </c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7" t="s">
        <v>50</v>
      </c>
      <c r="C33" s="16">
        <f t="shared" ref="C33:I33" si="19">C17</f>
        <v>26.1</v>
      </c>
      <c r="D33" s="16">
        <f t="shared" si="19"/>
        <v>31.049999999999997</v>
      </c>
      <c r="E33" s="16">
        <f t="shared" si="19"/>
        <v>33.862500000000004</v>
      </c>
      <c r="F33" s="16">
        <f t="shared" si="19"/>
        <v>39.038624999999982</v>
      </c>
      <c r="G33" s="16">
        <f t="shared" si="19"/>
        <v>44.283734999999986</v>
      </c>
      <c r="H33" s="16">
        <f t="shared" si="19"/>
        <v>46.891165724999993</v>
      </c>
      <c r="I33" s="16">
        <f t="shared" si="19"/>
        <v>49.305900696750001</v>
      </c>
    </row>
    <row r="34" spans="1:9" x14ac:dyDescent="0.25">
      <c r="A34" s="7" t="s">
        <v>60</v>
      </c>
      <c r="C34" s="16">
        <f t="shared" ref="C34:I34" si="20">C12</f>
        <v>31.35</v>
      </c>
      <c r="D34" s="16">
        <f t="shared" si="20"/>
        <v>33</v>
      </c>
      <c r="E34" s="16">
        <f t="shared" si="20"/>
        <v>34.65</v>
      </c>
      <c r="F34" s="16">
        <f t="shared" si="20"/>
        <v>36.209249999999997</v>
      </c>
      <c r="G34" s="16">
        <f t="shared" si="20"/>
        <v>37.657620000000001</v>
      </c>
      <c r="H34" s="16">
        <f t="shared" si="20"/>
        <v>38.975636699999995</v>
      </c>
      <c r="I34" s="16">
        <f t="shared" si="20"/>
        <v>40.144905800999993</v>
      </c>
    </row>
    <row r="35" spans="1:9" x14ac:dyDescent="0.25">
      <c r="A35" s="7" t="s">
        <v>61</v>
      </c>
      <c r="C35" s="16">
        <f t="shared" ref="C35:I36" si="21">-(C21-B21)</f>
        <v>4.1095890410958873</v>
      </c>
      <c r="D35" s="16">
        <f t="shared" si="21"/>
        <v>-4.5205479452054789</v>
      </c>
      <c r="E35" s="16">
        <f t="shared" si="21"/>
        <v>-4.5205479452054789</v>
      </c>
      <c r="F35" s="16">
        <f t="shared" si="21"/>
        <v>-4.2719178082191576</v>
      </c>
      <c r="G35" s="16">
        <f t="shared" si="21"/>
        <v>-3.9681369863013742</v>
      </c>
      <c r="H35" s="16">
        <f t="shared" si="21"/>
        <v>-3.6110046575342523</v>
      </c>
      <c r="I35" s="16">
        <f t="shared" si="21"/>
        <v>-3.2034769890410928</v>
      </c>
    </row>
    <row r="36" spans="1:9" x14ac:dyDescent="0.25">
      <c r="A36" s="7" t="s">
        <v>62</v>
      </c>
      <c r="C36" s="16">
        <f t="shared" si="21"/>
        <v>-18.698630136986296</v>
      </c>
      <c r="D36" s="16">
        <f t="shared" si="21"/>
        <v>-4.9315068493150704</v>
      </c>
      <c r="E36" s="16">
        <f t="shared" si="21"/>
        <v>-4.9315068493150704</v>
      </c>
      <c r="F36" s="16">
        <f t="shared" si="21"/>
        <v>-4.6602739726027238</v>
      </c>
      <c r="G36" s="16">
        <f t="shared" si="21"/>
        <v>-4.3288767123287926</v>
      </c>
      <c r="H36" s="16">
        <f t="shared" si="21"/>
        <v>-3.9392778082191597</v>
      </c>
      <c r="I36" s="16">
        <f t="shared" si="21"/>
        <v>-3.4947021698630181</v>
      </c>
    </row>
    <row r="37" spans="1:9" x14ac:dyDescent="0.25">
      <c r="A37" s="7" t="s">
        <v>63</v>
      </c>
      <c r="C37" s="16">
        <f t="shared" ref="C37:I37" si="22">C25-B25</f>
        <v>7.4657534246575352</v>
      </c>
      <c r="D37" s="16">
        <f t="shared" si="22"/>
        <v>3.2876712328767184</v>
      </c>
      <c r="E37" s="16">
        <f t="shared" si="22"/>
        <v>3.2876712328767042</v>
      </c>
      <c r="F37" s="16">
        <f t="shared" si="22"/>
        <v>3.1068493150684873</v>
      </c>
      <c r="G37" s="16">
        <f t="shared" si="22"/>
        <v>2.8859178082191903</v>
      </c>
      <c r="H37" s="16">
        <f t="shared" si="22"/>
        <v>2.6261852054794446</v>
      </c>
      <c r="I37" s="16">
        <f t="shared" si="22"/>
        <v>2.3298014465753454</v>
      </c>
    </row>
    <row r="38" spans="1:9" x14ac:dyDescent="0.25">
      <c r="A38" s="7" t="s">
        <v>64</v>
      </c>
      <c r="C38" s="19">
        <f t="shared" ref="C38:I38" si="23">SUM(C33:C37)</f>
        <v>50.32671232876713</v>
      </c>
      <c r="D38" s="19">
        <f t="shared" si="23"/>
        <v>57.885616438356166</v>
      </c>
      <c r="E38" s="19">
        <f t="shared" si="23"/>
        <v>62.348116438356158</v>
      </c>
      <c r="F38" s="19">
        <f t="shared" si="23"/>
        <v>69.422532534246585</v>
      </c>
      <c r="G38" s="19">
        <f t="shared" si="23"/>
        <v>76.530259109589011</v>
      </c>
      <c r="H38" s="19">
        <f t="shared" si="23"/>
        <v>80.942705164726021</v>
      </c>
      <c r="I38" s="19">
        <f t="shared" si="23"/>
        <v>85.082428785421229</v>
      </c>
    </row>
    <row r="39" spans="1:9" x14ac:dyDescent="0.25">
      <c r="A39" s="7" t="s">
        <v>65</v>
      </c>
      <c r="C39" s="16">
        <f t="shared" ref="C39:I39" si="24">-C55</f>
        <v>-34.199999999999996</v>
      </c>
      <c r="D39" s="16">
        <f t="shared" si="24"/>
        <v>-36</v>
      </c>
      <c r="E39" s="16">
        <f t="shared" si="24"/>
        <v>-37.799999999999997</v>
      </c>
      <c r="F39" s="16">
        <f t="shared" si="24"/>
        <v>-39.500999999999991</v>
      </c>
      <c r="G39" s="16">
        <f t="shared" si="24"/>
        <v>-41.081039999999994</v>
      </c>
      <c r="H39" s="16">
        <f t="shared" si="24"/>
        <v>-42.518876399999996</v>
      </c>
      <c r="I39" s="16">
        <f t="shared" si="24"/>
        <v>-43.794442691999997</v>
      </c>
    </row>
    <row r="40" spans="1:9" x14ac:dyDescent="0.25">
      <c r="A40" s="7" t="s">
        <v>66</v>
      </c>
      <c r="C40" s="19">
        <f t="shared" ref="C40:I40" si="25">C39</f>
        <v>-34.199999999999996</v>
      </c>
      <c r="D40" s="19">
        <f t="shared" si="25"/>
        <v>-36</v>
      </c>
      <c r="E40" s="19">
        <f t="shared" si="25"/>
        <v>-37.799999999999997</v>
      </c>
      <c r="F40" s="19">
        <f t="shared" si="25"/>
        <v>-39.500999999999991</v>
      </c>
      <c r="G40" s="19">
        <f t="shared" si="25"/>
        <v>-41.081039999999994</v>
      </c>
      <c r="H40" s="19">
        <f t="shared" si="25"/>
        <v>-42.518876399999996</v>
      </c>
      <c r="I40" s="19">
        <f t="shared" si="25"/>
        <v>-43.794442691999997</v>
      </c>
    </row>
    <row r="41" spans="1:9" x14ac:dyDescent="0.25">
      <c r="A41" s="7" t="s">
        <v>67</v>
      </c>
      <c r="C41" s="16">
        <f t="shared" ref="C41:I41" si="26">C61</f>
        <v>-7.83</v>
      </c>
      <c r="D41" s="16">
        <f t="shared" si="26"/>
        <v>-9.3149999999999995</v>
      </c>
      <c r="E41" s="16">
        <f t="shared" si="26"/>
        <v>-10.158750000000001</v>
      </c>
      <c r="F41" s="16">
        <f t="shared" si="26"/>
        <v>-11.711587499999995</v>
      </c>
      <c r="G41" s="16">
        <f t="shared" si="26"/>
        <v>-13.285120499999996</v>
      </c>
      <c r="H41" s="16">
        <f t="shared" si="26"/>
        <v>-14.067349717499997</v>
      </c>
      <c r="I41" s="16">
        <f t="shared" si="26"/>
        <v>-14.791770209025</v>
      </c>
    </row>
    <row r="42" spans="1:9" x14ac:dyDescent="0.25">
      <c r="A42" s="7" t="s">
        <v>68</v>
      </c>
      <c r="C42" s="16">
        <f t="shared" ref="C42:I42" si="27">-C51</f>
        <v>-20</v>
      </c>
      <c r="D42" s="16">
        <f t="shared" si="27"/>
        <v>-20</v>
      </c>
      <c r="E42" s="16">
        <f t="shared" si="27"/>
        <v>-20</v>
      </c>
      <c r="F42" s="16">
        <f t="shared" si="27"/>
        <v>-20</v>
      </c>
      <c r="G42" s="16">
        <f t="shared" si="27"/>
        <v>-20</v>
      </c>
      <c r="H42" s="16">
        <f t="shared" si="27"/>
        <v>-20</v>
      </c>
      <c r="I42" s="16">
        <f t="shared" si="27"/>
        <v>-20</v>
      </c>
    </row>
    <row r="43" spans="1:9" x14ac:dyDescent="0.25">
      <c r="A43" s="7" t="s">
        <v>69</v>
      </c>
      <c r="C43" s="19">
        <f t="shared" ref="C43:I43" si="28">C41+C42</f>
        <v>-27.83</v>
      </c>
      <c r="D43" s="19">
        <f t="shared" si="28"/>
        <v>-29.314999999999998</v>
      </c>
      <c r="E43" s="19">
        <f t="shared" si="28"/>
        <v>-30.158750000000001</v>
      </c>
      <c r="F43" s="19">
        <f t="shared" si="28"/>
        <v>-31.711587499999993</v>
      </c>
      <c r="G43" s="19">
        <f t="shared" si="28"/>
        <v>-33.285120499999998</v>
      </c>
      <c r="H43" s="19">
        <f t="shared" si="28"/>
        <v>-34.067349717499994</v>
      </c>
      <c r="I43" s="19">
        <f t="shared" si="28"/>
        <v>-34.791770209025003</v>
      </c>
    </row>
    <row r="44" spans="1:9" x14ac:dyDescent="0.25">
      <c r="A44" s="7" t="s">
        <v>70</v>
      </c>
      <c r="C44" s="19">
        <f t="shared" ref="C44:I44" si="29">C38+C40+C43</f>
        <v>-11.703287671232864</v>
      </c>
      <c r="D44" s="19">
        <f t="shared" si="29"/>
        <v>-7.4293835616438315</v>
      </c>
      <c r="E44" s="19">
        <f t="shared" si="29"/>
        <v>-5.6106335616438407</v>
      </c>
      <c r="F44" s="19">
        <f t="shared" si="29"/>
        <v>-1.7900549657533986</v>
      </c>
      <c r="G44" s="19">
        <f t="shared" si="29"/>
        <v>2.1640986095890185</v>
      </c>
      <c r="H44" s="19">
        <f t="shared" si="29"/>
        <v>4.3564790472260313</v>
      </c>
      <c r="I44" s="19">
        <f t="shared" si="29"/>
        <v>6.4962158843962285</v>
      </c>
    </row>
    <row r="45" spans="1:9" x14ac:dyDescent="0.25">
      <c r="A45" s="7" t="s">
        <v>71</v>
      </c>
      <c r="C45" s="16">
        <f t="shared" ref="C45:I45" si="30">B20</f>
        <v>40</v>
      </c>
      <c r="D45" s="16">
        <f t="shared" si="30"/>
        <v>28.296712328767136</v>
      </c>
      <c r="E45" s="16">
        <f t="shared" si="30"/>
        <v>20.867328767123304</v>
      </c>
      <c r="F45" s="16">
        <f t="shared" si="30"/>
        <v>15.256695205479463</v>
      </c>
      <c r="G45" s="16">
        <f t="shared" si="30"/>
        <v>13.466640239726065</v>
      </c>
      <c r="H45" s="16">
        <f t="shared" si="30"/>
        <v>15.630738849315083</v>
      </c>
      <c r="I45" s="16">
        <f t="shared" si="30"/>
        <v>19.987217896541114</v>
      </c>
    </row>
    <row r="46" spans="1:9" x14ac:dyDescent="0.25">
      <c r="A46" s="7" t="s">
        <v>72</v>
      </c>
      <c r="C46" s="19">
        <f t="shared" ref="C46:I46" si="31">C45+C44</f>
        <v>28.296712328767136</v>
      </c>
      <c r="D46" s="19">
        <f t="shared" si="31"/>
        <v>20.867328767123304</v>
      </c>
      <c r="E46" s="19">
        <f t="shared" si="31"/>
        <v>15.256695205479463</v>
      </c>
      <c r="F46" s="19">
        <f t="shared" si="31"/>
        <v>13.466640239726065</v>
      </c>
      <c r="G46" s="19">
        <f t="shared" si="31"/>
        <v>15.630738849315083</v>
      </c>
      <c r="H46" s="19">
        <f t="shared" si="31"/>
        <v>19.987217896541114</v>
      </c>
      <c r="I46" s="19">
        <f t="shared" si="31"/>
        <v>26.483433780937343</v>
      </c>
    </row>
    <row r="48" spans="1:9" x14ac:dyDescent="0.25">
      <c r="A48" s="4" t="s">
        <v>73</v>
      </c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22" t="s">
        <v>74</v>
      </c>
    </row>
    <row r="50" spans="1:9" x14ac:dyDescent="0.25">
      <c r="A50" s="7" t="s">
        <v>75</v>
      </c>
      <c r="C50" s="16">
        <f t="shared" ref="C50:I50" si="32">B52</f>
        <v>180</v>
      </c>
      <c r="D50" s="16">
        <f t="shared" si="32"/>
        <v>160</v>
      </c>
      <c r="E50" s="16">
        <f t="shared" si="32"/>
        <v>140</v>
      </c>
      <c r="F50" s="16">
        <f t="shared" si="32"/>
        <v>120</v>
      </c>
      <c r="G50" s="16">
        <f t="shared" si="32"/>
        <v>100</v>
      </c>
      <c r="H50" s="16">
        <f t="shared" si="32"/>
        <v>80</v>
      </c>
      <c r="I50" s="16">
        <f t="shared" si="32"/>
        <v>60</v>
      </c>
    </row>
    <row r="51" spans="1:9" x14ac:dyDescent="0.25">
      <c r="A51" s="7" t="s">
        <v>76</v>
      </c>
      <c r="C51" s="16">
        <f t="shared" ref="C51:I51" si="33">MIN(Debt_Amort,C50)</f>
        <v>20</v>
      </c>
      <c r="D51" s="16">
        <f t="shared" si="33"/>
        <v>20</v>
      </c>
      <c r="E51" s="16">
        <f t="shared" si="33"/>
        <v>20</v>
      </c>
      <c r="F51" s="16">
        <f t="shared" si="33"/>
        <v>20</v>
      </c>
      <c r="G51" s="16">
        <f t="shared" si="33"/>
        <v>20</v>
      </c>
      <c r="H51" s="16">
        <f t="shared" si="33"/>
        <v>20</v>
      </c>
      <c r="I51" s="16">
        <f t="shared" si="33"/>
        <v>20</v>
      </c>
    </row>
    <row r="52" spans="1:9" x14ac:dyDescent="0.25">
      <c r="A52" s="7" t="s">
        <v>77</v>
      </c>
      <c r="B52" s="15">
        <f>Assumptions!B15</f>
        <v>180</v>
      </c>
      <c r="C52" s="19">
        <f t="shared" ref="C52:I52" si="34">C50-C51</f>
        <v>160</v>
      </c>
      <c r="D52" s="19">
        <f t="shared" si="34"/>
        <v>140</v>
      </c>
      <c r="E52" s="19">
        <f t="shared" si="34"/>
        <v>120</v>
      </c>
      <c r="F52" s="19">
        <f t="shared" si="34"/>
        <v>100</v>
      </c>
      <c r="G52" s="19">
        <f t="shared" si="34"/>
        <v>80</v>
      </c>
      <c r="H52" s="19">
        <f t="shared" si="34"/>
        <v>60</v>
      </c>
      <c r="I52" s="19">
        <f t="shared" si="34"/>
        <v>40</v>
      </c>
    </row>
    <row r="53" spans="1:9" x14ac:dyDescent="0.25">
      <c r="A53" s="22" t="s">
        <v>78</v>
      </c>
    </row>
    <row r="54" spans="1:9" x14ac:dyDescent="0.25">
      <c r="A54" s="7" t="s">
        <v>79</v>
      </c>
      <c r="C54" s="16">
        <f t="shared" ref="C54:I54" si="35">B57</f>
        <v>250</v>
      </c>
      <c r="D54" s="16">
        <f t="shared" si="35"/>
        <v>252.85</v>
      </c>
      <c r="E54" s="16">
        <f t="shared" si="35"/>
        <v>255.85000000000002</v>
      </c>
      <c r="F54" s="16">
        <f t="shared" si="35"/>
        <v>259.00000000000006</v>
      </c>
      <c r="G54" s="16">
        <f t="shared" si="35"/>
        <v>262.29175000000004</v>
      </c>
      <c r="H54" s="16">
        <f t="shared" si="35"/>
        <v>265.71517</v>
      </c>
      <c r="I54" s="16">
        <f t="shared" si="35"/>
        <v>269.25840970000002</v>
      </c>
    </row>
    <row r="55" spans="1:9" x14ac:dyDescent="0.25">
      <c r="A55" s="7" t="s">
        <v>80</v>
      </c>
      <c r="C55" s="16">
        <f t="shared" ref="C55:I55" si="36">C8*Capex_Pct</f>
        <v>34.199999999999996</v>
      </c>
      <c r="D55" s="16">
        <f t="shared" si="36"/>
        <v>36</v>
      </c>
      <c r="E55" s="16">
        <f t="shared" si="36"/>
        <v>37.799999999999997</v>
      </c>
      <c r="F55" s="16">
        <f t="shared" si="36"/>
        <v>39.500999999999991</v>
      </c>
      <c r="G55" s="16">
        <f t="shared" si="36"/>
        <v>41.081039999999994</v>
      </c>
      <c r="H55" s="16">
        <f t="shared" si="36"/>
        <v>42.518876399999996</v>
      </c>
      <c r="I55" s="16">
        <f t="shared" si="36"/>
        <v>43.794442691999997</v>
      </c>
    </row>
    <row r="56" spans="1:9" x14ac:dyDescent="0.25">
      <c r="A56" s="7" t="s">
        <v>81</v>
      </c>
      <c r="C56" s="16">
        <f t="shared" ref="C56:I56" si="37">-C12</f>
        <v>-31.35</v>
      </c>
      <c r="D56" s="16">
        <f t="shared" si="37"/>
        <v>-33</v>
      </c>
      <c r="E56" s="16">
        <f t="shared" si="37"/>
        <v>-34.65</v>
      </c>
      <c r="F56" s="16">
        <f t="shared" si="37"/>
        <v>-36.209249999999997</v>
      </c>
      <c r="G56" s="16">
        <f t="shared" si="37"/>
        <v>-37.657620000000001</v>
      </c>
      <c r="H56" s="16">
        <f t="shared" si="37"/>
        <v>-38.975636699999995</v>
      </c>
      <c r="I56" s="16">
        <f t="shared" si="37"/>
        <v>-40.144905800999993</v>
      </c>
    </row>
    <row r="57" spans="1:9" x14ac:dyDescent="0.25">
      <c r="A57" s="7" t="s">
        <v>82</v>
      </c>
      <c r="B57" s="15">
        <f>Assumptions!B13</f>
        <v>250</v>
      </c>
      <c r="C57" s="19">
        <f t="shared" ref="C57:I57" si="38">C54+C55+C56</f>
        <v>252.85</v>
      </c>
      <c r="D57" s="19">
        <f t="shared" si="38"/>
        <v>255.85000000000002</v>
      </c>
      <c r="E57" s="19">
        <f t="shared" si="38"/>
        <v>259.00000000000006</v>
      </c>
      <c r="F57" s="19">
        <f t="shared" si="38"/>
        <v>262.29175000000004</v>
      </c>
      <c r="G57" s="19">
        <f t="shared" si="38"/>
        <v>265.71517</v>
      </c>
      <c r="H57" s="19">
        <f t="shared" si="38"/>
        <v>269.25840970000002</v>
      </c>
      <c r="I57" s="19">
        <f t="shared" si="38"/>
        <v>272.90794659100004</v>
      </c>
    </row>
    <row r="58" spans="1:9" x14ac:dyDescent="0.25">
      <c r="A58" s="22" t="s">
        <v>83</v>
      </c>
    </row>
    <row r="59" spans="1:9" x14ac:dyDescent="0.25">
      <c r="A59" s="7" t="s">
        <v>84</v>
      </c>
      <c r="C59" s="16">
        <f t="shared" ref="C59:I59" si="39">B62</f>
        <v>220</v>
      </c>
      <c r="D59" s="16">
        <f t="shared" si="39"/>
        <v>238.26999999999998</v>
      </c>
      <c r="E59" s="16">
        <f t="shared" si="39"/>
        <v>260.005</v>
      </c>
      <c r="F59" s="16">
        <f t="shared" si="39"/>
        <v>283.70875000000001</v>
      </c>
      <c r="G59" s="16">
        <f t="shared" si="39"/>
        <v>311.03578749999997</v>
      </c>
      <c r="H59" s="16">
        <f t="shared" si="39"/>
        <v>342.03440199999994</v>
      </c>
      <c r="I59" s="16">
        <f t="shared" si="39"/>
        <v>374.85821800749994</v>
      </c>
    </row>
    <row r="60" spans="1:9" x14ac:dyDescent="0.25">
      <c r="A60" s="7" t="s">
        <v>85</v>
      </c>
      <c r="C60" s="16">
        <f t="shared" ref="C60:I60" si="40">C17</f>
        <v>26.1</v>
      </c>
      <c r="D60" s="16">
        <f t="shared" si="40"/>
        <v>31.049999999999997</v>
      </c>
      <c r="E60" s="16">
        <f t="shared" si="40"/>
        <v>33.862500000000004</v>
      </c>
      <c r="F60" s="16">
        <f t="shared" si="40"/>
        <v>39.038624999999982</v>
      </c>
      <c r="G60" s="16">
        <f t="shared" si="40"/>
        <v>44.283734999999986</v>
      </c>
      <c r="H60" s="16">
        <f t="shared" si="40"/>
        <v>46.891165724999993</v>
      </c>
      <c r="I60" s="16">
        <f t="shared" si="40"/>
        <v>49.305900696750001</v>
      </c>
    </row>
    <row r="61" spans="1:9" x14ac:dyDescent="0.25">
      <c r="A61" s="7" t="s">
        <v>86</v>
      </c>
      <c r="C61" s="16">
        <f t="shared" ref="C61:I61" si="41">-MAX(C17,0)*Payout_Pct</f>
        <v>-7.83</v>
      </c>
      <c r="D61" s="16">
        <f t="shared" si="41"/>
        <v>-9.3149999999999995</v>
      </c>
      <c r="E61" s="16">
        <f t="shared" si="41"/>
        <v>-10.158750000000001</v>
      </c>
      <c r="F61" s="16">
        <f t="shared" si="41"/>
        <v>-11.711587499999995</v>
      </c>
      <c r="G61" s="16">
        <f t="shared" si="41"/>
        <v>-13.285120499999996</v>
      </c>
      <c r="H61" s="16">
        <f t="shared" si="41"/>
        <v>-14.067349717499997</v>
      </c>
      <c r="I61" s="16">
        <f t="shared" si="41"/>
        <v>-14.791770209025</v>
      </c>
    </row>
    <row r="62" spans="1:9" x14ac:dyDescent="0.25">
      <c r="A62" s="7" t="s">
        <v>87</v>
      </c>
      <c r="B62" s="15">
        <f>Assumptions!B16</f>
        <v>220</v>
      </c>
      <c r="C62" s="19">
        <f t="shared" ref="C62:I62" si="42">C59+C60+C61</f>
        <v>238.26999999999998</v>
      </c>
      <c r="D62" s="19">
        <f t="shared" si="42"/>
        <v>260.005</v>
      </c>
      <c r="E62" s="19">
        <f t="shared" si="42"/>
        <v>283.70875000000001</v>
      </c>
      <c r="F62" s="19">
        <f t="shared" si="42"/>
        <v>311.03578749999997</v>
      </c>
      <c r="G62" s="19">
        <f t="shared" si="42"/>
        <v>342.03440199999994</v>
      </c>
      <c r="H62" s="19">
        <f t="shared" si="42"/>
        <v>374.85821800749994</v>
      </c>
      <c r="I62" s="19">
        <f t="shared" si="42"/>
        <v>409.37234849522497</v>
      </c>
    </row>
    <row r="64" spans="1:9" x14ac:dyDescent="0.25">
      <c r="A64" s="4" t="s">
        <v>88</v>
      </c>
      <c r="B64" s="5"/>
      <c r="C64" s="5"/>
      <c r="D64" s="5"/>
      <c r="E64" s="5"/>
      <c r="F64" s="5"/>
      <c r="G64" s="5"/>
      <c r="H64" s="5"/>
      <c r="I64" s="5"/>
    </row>
    <row r="65" spans="1:3" x14ac:dyDescent="0.25">
      <c r="A65" s="23" t="s">
        <v>89</v>
      </c>
      <c r="B65" s="24">
        <f>I17</f>
        <v>49.305900696750001</v>
      </c>
      <c r="C65" s="3" t="s">
        <v>90</v>
      </c>
    </row>
    <row r="66" spans="1:3" x14ac:dyDescent="0.25">
      <c r="A66" s="23" t="s">
        <v>91</v>
      </c>
      <c r="B66" s="24">
        <f>I24</f>
        <v>529.36219816097844</v>
      </c>
      <c r="C66" s="3" t="s">
        <v>92</v>
      </c>
    </row>
    <row r="67" spans="1:3" x14ac:dyDescent="0.25">
      <c r="A67" s="23" t="s">
        <v>93</v>
      </c>
      <c r="B67" s="24">
        <f>I29</f>
        <v>529.36219816097844</v>
      </c>
      <c r="C67" s="3" t="s">
        <v>94</v>
      </c>
    </row>
    <row r="68" spans="1:3" x14ac:dyDescent="0.25">
      <c r="A68" s="23" t="s">
        <v>95</v>
      </c>
      <c r="B68" s="25">
        <f>I30</f>
        <v>0</v>
      </c>
      <c r="C68" s="3" t="s">
        <v>96</v>
      </c>
    </row>
    <row r="69" spans="1:3" x14ac:dyDescent="0.25">
      <c r="A69" s="23" t="s">
        <v>97</v>
      </c>
      <c r="B69" s="24">
        <f>I20</f>
        <v>26.483433780937343</v>
      </c>
      <c r="C69" s="3" t="s">
        <v>98</v>
      </c>
    </row>
    <row r="70" spans="1:3" x14ac:dyDescent="0.25">
      <c r="A70" s="23" t="s">
        <v>99</v>
      </c>
      <c r="B70" s="24">
        <f>I26</f>
        <v>40</v>
      </c>
      <c r="C70" s="3" t="s">
        <v>100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12</vt:i4>
      </vt:variant>
    </vt:vector>
  </HeadingPairs>
  <TitlesOfParts>
    <vt:vector size="14" baseType="lpstr">
      <vt:lpstr>Assumptions</vt:lpstr>
      <vt:lpstr>Model</vt:lpstr>
      <vt:lpstr>Assumptions!Area_stampa</vt:lpstr>
      <vt:lpstr>Model!Area_stampa</vt:lpstr>
      <vt:lpstr>Capex_Pct</vt:lpstr>
      <vt:lpstr>DaysYear</vt:lpstr>
      <vt:lpstr>Debt_Amort</vt:lpstr>
      <vt:lpstr>DIO_Days</vt:lpstr>
      <vt:lpstr>DnA_Pct</vt:lpstr>
      <vt:lpstr>DPO_Days</vt:lpstr>
      <vt:lpstr>DSO_Days</vt:lpstr>
      <vt:lpstr>IntRate</vt:lpstr>
      <vt:lpstr>Payout_Pct</vt:lpstr>
      <vt:lpstr>TaxRate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Luke</cp:lastModifiedBy>
  <dcterms:created xsi:type="dcterms:W3CDTF">2026-06-12T15:17:34Z</dcterms:created>
  <dcterms:modified xsi:type="dcterms:W3CDTF">2026-06-12T15:17:47Z</dcterms:modified>
</cp:coreProperties>
</file>