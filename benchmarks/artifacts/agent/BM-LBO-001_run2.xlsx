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 and Use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Sensitivity" sheetId="6" state="visible" r:id="rId6"/>
  </sheets>
  <definedNames>
    <definedName name="Rev_FY0">Assumptions!$B$7</definedName>
    <definedName name="Entry_EBITDA">Assumptions!$B$11</definedName>
    <definedName name="Net_Debt_Entry">Assumptions!$B$12</definedName>
    <definedName name="Share_Price">Assumptions!$B$15</definedName>
    <definedName name="Offer_Premium">Assumptions!$B$16</definedName>
    <definedName name="FD_Shares">Assumptions!$B$17</definedName>
    <definedName name="Option_Buyout">Assumptions!$B$18</definedName>
    <definedName name="Advisory_Fees">Assumptions!$B$21</definedName>
    <definedName name="Financing_Fees">Assumptions!$B$22</definedName>
    <definedName name="Min_Cash">Assumptions!$B$23</definedName>
    <definedName name="TL_Mult">Assumptions!$B$24</definedName>
    <definedName name="Mezz_Mult">Assumptions!$B$25</definedName>
    <definedName name="SOFR_Rate">Assumptions!$B$26</definedName>
    <definedName name="TL_Spread">Assumptions!$B$27</definedName>
    <definedName name="Mezz_Spread">Assumptions!$B$28</definedName>
    <definedName name="Sched_Amort">Assumptions!$B$31</definedName>
    <definedName name="Dist_PerYear">Assumptions!$B$33</definedName>
    <definedName name="Growth_Y1">Assumptions!$B$37</definedName>
    <definedName name="Growth_Y2">Assumptions!$C$37</definedName>
    <definedName name="Growth_Y3">Assumptions!$D$37</definedName>
    <definedName name="Growth_Y4">Assumptions!$E$37</definedName>
    <definedName name="Growth_Y5">Assumptions!$F$37</definedName>
    <definedName name="Margin_Y1">Assumptions!$B$38</definedName>
    <definedName name="Margin_Y2">Assumptions!$C$38</definedName>
    <definedName name="Margin_Y3">Assumptions!$D$38</definedName>
    <definedName name="Margin_Y4">Assumptions!$E$38</definedName>
    <definedName name="Margin_Y5">Assumptions!$F$38</definedName>
    <definedName name="DA_Pct">Assumptions!$B$39</definedName>
    <definedName name="MaintCapex_Pct">Assumptions!$B$40</definedName>
    <definedName name="GrowthCapex_Pct">Assumptions!$B$41</definedName>
    <definedName name="NWC_Pct">Assumptions!$B$42</definedName>
    <definedName name="Tax_Rate">Assumptions!$B$43</definedName>
    <definedName name="Hold_Years">Assumptions!$B$46</definedName>
    <definedName name="Exit_Multiple">Assumptions!$B$47</definedName>
    <definedName name="Sens_MultStep">Assumptions!$B$52</definedName>
    <definedName name="Sens_GrowthStep">Assumptions!$B$53</definedName>
    <definedName name="Total_Uses">'Sources and Uses'!$B$17</definedName>
    <definedName name="TL_Amount">'Sources and Uses'!$B$20</definedName>
    <definedName name="Mezz_Amount">'Sources and Uses'!$B$21</definedName>
    <definedName name="Sponsor_Equity">'Sources and Uses'!$B$22</definedName>
    <definedName name="EBITDA_Y5">'Operating Model'!$I$8</definedName>
    <definedName name="Debt_AtExit">'Debt Schedule'!$B$23</definedName>
    <definedName name="Exit_Equity">Returns!$B$9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_);(#,##0.0)"/>
    <numFmt numFmtId="165" formatCode="$0.00"/>
    <numFmt numFmtId="166" formatCode="0.0%"/>
    <numFmt numFmtId="167" formatCode="0.0&quot;x&quot;"/>
    <numFmt numFmtId="168" formatCode="0.000000"/>
    <numFmt numFmtId="169" formatCode="0.00&quot;x&quot;"/>
    <numFmt numFmtId="170" formatCode="0.0000"/>
    <numFmt numFmtId="171" formatCode="+0.0%;-0.0%;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1F4E79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0" fontId="5" fillId="0" borderId="0" pivotButton="0" quotePrefix="0" xfId="0"/>
    <xf numFmtId="1" fontId="5" fillId="0" borderId="0" pivotButton="0" quotePrefix="0" xfId="0"/>
    <xf numFmtId="0" fontId="6" fillId="0" borderId="0" applyAlignment="1" pivotButton="0" quotePrefix="0" xfId="0">
      <alignment horizontal="center"/>
    </xf>
    <xf numFmtId="165" fontId="7" fillId="0" borderId="0" pivotButton="0" quotePrefix="0" xfId="0"/>
    <xf numFmtId="164" fontId="7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167" fontId="7" fillId="0" borderId="0" pivotButton="0" quotePrefix="0" xfId="0"/>
    <xf numFmtId="164" fontId="6" fillId="0" borderId="2" pivotButton="0" quotePrefix="0" xfId="0"/>
    <xf numFmtId="164" fontId="6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0" fontId="6" fillId="0" borderId="1" applyAlignment="1" pivotButton="0" quotePrefix="0" xfId="0">
      <alignment horizontal="center"/>
    </xf>
    <xf numFmtId="166" fontId="7" fillId="0" borderId="0" pivotButton="0" quotePrefix="0" xfId="0"/>
    <xf numFmtId="164" fontId="4" fillId="0" borderId="1" pivotButton="0" quotePrefix="0" xfId="0"/>
    <xf numFmtId="167" fontId="4" fillId="0" borderId="0" pivotButton="0" quotePrefix="0" xfId="0"/>
    <xf numFmtId="10" fontId="7" fillId="0" borderId="0" pivotButton="0" quotePrefix="0" xfId="0"/>
    <xf numFmtId="168" fontId="7" fillId="0" borderId="0" pivotButton="0" quotePrefix="0" xfId="0"/>
    <xf numFmtId="10" fontId="6" fillId="0" borderId="0" pivotButton="0" quotePrefix="0" xfId="0"/>
    <xf numFmtId="169" fontId="6" fillId="0" borderId="0" pivotButton="0" quotePrefix="0" xfId="0"/>
    <xf numFmtId="0" fontId="6" fillId="4" borderId="0" pivotButton="0" quotePrefix="0" xfId="0"/>
    <xf numFmtId="170" fontId="6" fillId="4" borderId="0" pivotButton="0" quotePrefix="0" xfId="0"/>
    <xf numFmtId="169" fontId="6" fillId="4" borderId="0" pivotButton="0" quotePrefix="0" xfId="0"/>
    <xf numFmtId="164" fontId="6" fillId="4" borderId="0" pivotButton="0" quotePrefix="0" xfId="0"/>
    <xf numFmtId="164" fontId="8" fillId="4" borderId="0" pivotButton="0" quotePrefix="0" xfId="0"/>
    <xf numFmtId="0" fontId="3" fillId="0" borderId="0" applyAlignment="1" pivotButton="0" quotePrefix="0" xfId="0">
      <alignment horizontal="right"/>
    </xf>
    <xf numFmtId="171" fontId="7" fillId="0" borderId="0" applyAlignment="1" pivotButton="0" quotePrefix="0" xfId="0">
      <alignment horizontal="center"/>
    </xf>
    <xf numFmtId="171" fontId="4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10" fontId="7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SaaSCo — SPONSOR LBO MODEL — ASSUMPTIONS &amp; SOURCES (BM-LBO-001, arm B run 2)</t>
        </is>
      </c>
      <c r="B1" s="1" t="n"/>
      <c r="C1" s="1" t="n"/>
      <c r="D1" s="1" t="n"/>
      <c r="E1" s="1" t="n"/>
      <c r="F1" s="1" t="n"/>
    </row>
    <row r="2">
      <c r="A2" s="2" t="inlineStr">
        <is>
          <t>Synthetic benchmark. Every input below is sourced verbatim from benchmarks/briefs/lbo_us_saas.md. USD millions unless noted.</t>
        </is>
      </c>
    </row>
    <row r="3">
      <c r="A3" s="2" t="inlineStr">
        <is>
          <t>Color code: blue = hardcoded input, black = calculation, green = cross-sheet link.</t>
        </is>
      </c>
    </row>
    <row r="4">
      <c r="A4" s="3" t="inlineStr">
        <is>
          <t>1. TARGET — HISTORICAL FINANCIALS</t>
        </is>
      </c>
      <c r="B4" s="4" t="n"/>
      <c r="C4" s="4" t="n"/>
      <c r="D4" s="4" t="n"/>
      <c r="E4" s="4" t="n"/>
      <c r="F4" s="4" t="n"/>
    </row>
    <row r="5">
      <c r="A5" s="5" t="inlineStr">
        <is>
          <t>Revenue — FY-2</t>
        </is>
      </c>
      <c r="B5" s="6" t="n">
        <v>81</v>
      </c>
      <c r="C5" s="2" t="inlineStr">
        <is>
          <t>$m</t>
        </is>
      </c>
      <c r="D5" s="2" t="inlineStr">
        <is>
          <t>Brief §1</t>
        </is>
      </c>
    </row>
    <row r="6">
      <c r="A6" s="5" t="inlineStr">
        <is>
          <t>Revenue — FY-1</t>
        </is>
      </c>
      <c r="B6" s="6" t="n">
        <v>90</v>
      </c>
      <c r="C6" s="2" t="inlineStr">
        <is>
          <t>$m</t>
        </is>
      </c>
      <c r="D6" s="2" t="inlineStr">
        <is>
          <t>Brief §1</t>
        </is>
      </c>
    </row>
    <row r="7">
      <c r="A7" s="5" t="inlineStr">
        <is>
          <t>Revenue — FY0 (last historical)</t>
        </is>
      </c>
      <c r="B7" s="6" t="n">
        <v>100</v>
      </c>
      <c r="C7" s="2" t="inlineStr">
        <is>
          <t>$m</t>
        </is>
      </c>
      <c r="D7" s="2" t="inlineStr">
        <is>
          <t>Brief §1</t>
        </is>
      </c>
    </row>
    <row r="8">
      <c r="A8" s="5" t="inlineStr">
        <is>
          <t>EBITDA — FY-2</t>
        </is>
      </c>
      <c r="B8" s="6" t="n">
        <v>26.7</v>
      </c>
      <c r="C8" s="2" t="inlineStr">
        <is>
          <t>$m</t>
        </is>
      </c>
      <c r="D8" s="2" t="inlineStr">
        <is>
          <t>Brief §1</t>
        </is>
      </c>
    </row>
    <row r="9">
      <c r="A9" s="5" t="inlineStr">
        <is>
          <t>EBITDA — FY-1</t>
        </is>
      </c>
      <c r="B9" s="6" t="n">
        <v>30.6</v>
      </c>
      <c r="C9" s="2" t="inlineStr">
        <is>
          <t>$m</t>
        </is>
      </c>
      <c r="D9" s="2" t="inlineStr">
        <is>
          <t>Brief §1</t>
        </is>
      </c>
    </row>
    <row r="10">
      <c r="A10" s="5" t="inlineStr">
        <is>
          <t>EBITDA — FY0</t>
        </is>
      </c>
      <c r="B10" s="6" t="n">
        <v>35</v>
      </c>
      <c r="C10" s="2" t="inlineStr">
        <is>
          <t>$m</t>
        </is>
      </c>
      <c r="D10" s="2" t="inlineStr">
        <is>
          <t>Brief §1</t>
        </is>
      </c>
    </row>
    <row r="11">
      <c r="A11" s="5" t="inlineStr">
        <is>
          <t>Entry (LTM) EBITDA  (= FY0 EBITDA)</t>
        </is>
      </c>
      <c r="B11" s="7">
        <f>B10</f>
        <v/>
      </c>
      <c r="C11" s="2" t="inlineStr">
        <is>
          <t>$m</t>
        </is>
      </c>
      <c r="D11" s="2" t="inlineStr">
        <is>
          <t>Brief §1</t>
        </is>
      </c>
    </row>
    <row r="12">
      <c r="A12" s="5" t="inlineStr">
        <is>
          <t>Target net debt at close (refinanced)</t>
        </is>
      </c>
      <c r="B12" s="6" t="n">
        <v>20</v>
      </c>
      <c r="C12" s="2" t="inlineStr">
        <is>
          <t>$m</t>
        </is>
      </c>
      <c r="D12" s="2" t="inlineStr">
        <is>
          <t>Brief §1</t>
        </is>
      </c>
    </row>
    <row r="14">
      <c r="A14" s="3" t="inlineStr">
        <is>
          <t>2. PURCHASE PRICE</t>
        </is>
      </c>
      <c r="B14" s="4" t="n"/>
      <c r="C14" s="4" t="n"/>
      <c r="D14" s="4" t="n"/>
      <c r="E14" s="4" t="n"/>
      <c r="F14" s="4" t="n"/>
    </row>
    <row r="15">
      <c r="A15" s="5" t="inlineStr">
        <is>
          <t>Current share price</t>
        </is>
      </c>
      <c r="B15" s="8" t="n">
        <v>4.4</v>
      </c>
      <c r="C15" s="2" t="inlineStr">
        <is>
          <t>$ / share</t>
        </is>
      </c>
      <c r="D15" s="2" t="inlineStr">
        <is>
          <t>Brief §2</t>
        </is>
      </c>
    </row>
    <row r="16">
      <c r="A16" s="5" t="inlineStr">
        <is>
          <t>Offer premium</t>
        </is>
      </c>
      <c r="B16" s="9" t="n">
        <v>0.25</v>
      </c>
      <c r="C16" s="2" t="inlineStr">
        <is>
          <t>% over current price</t>
        </is>
      </c>
      <c r="D16" s="2" t="inlineStr">
        <is>
          <t>Brief §2</t>
        </is>
      </c>
    </row>
    <row r="17">
      <c r="A17" s="5" t="inlineStr">
        <is>
          <t>Fully diluted shares</t>
        </is>
      </c>
      <c r="B17" s="6" t="n">
        <v>60</v>
      </c>
      <c r="C17" s="2" t="inlineStr">
        <is>
          <t>m shares</t>
        </is>
      </c>
      <c r="D17" s="2" t="inlineStr">
        <is>
          <t>Brief §2</t>
        </is>
      </c>
    </row>
    <row r="18">
      <c r="A18" s="5" t="inlineStr">
        <is>
          <t>Option / RSU buyout</t>
        </is>
      </c>
      <c r="B18" s="6" t="n">
        <v>0</v>
      </c>
      <c r="C18" s="2" t="inlineStr">
        <is>
          <t>$m</t>
        </is>
      </c>
      <c r="D18" s="2" t="inlineStr">
        <is>
          <t>Brief §2</t>
        </is>
      </c>
    </row>
    <row r="20">
      <c r="A20" s="3" t="inlineStr">
        <is>
          <t>3. FINANCING &amp; TRANSACTION COSTS</t>
        </is>
      </c>
      <c r="B20" s="4" t="n"/>
      <c r="C20" s="4" t="n"/>
      <c r="D20" s="4" t="n"/>
      <c r="E20" s="4" t="n"/>
      <c r="F20" s="4" t="n"/>
    </row>
    <row r="21">
      <c r="A21" s="5" t="inlineStr">
        <is>
          <t>M&amp;A advisory fees</t>
        </is>
      </c>
      <c r="B21" s="6" t="n">
        <v>7</v>
      </c>
      <c r="C21" s="2" t="inlineStr">
        <is>
          <t>$m, funded at close</t>
        </is>
      </c>
      <c r="D21" s="2" t="inlineStr">
        <is>
          <t>Brief §3</t>
        </is>
      </c>
    </row>
    <row r="22">
      <c r="A22" s="5" t="inlineStr">
        <is>
          <t>Financing fees</t>
        </is>
      </c>
      <c r="B22" s="6" t="n">
        <v>5</v>
      </c>
      <c r="C22" s="2" t="inlineStr">
        <is>
          <t>$m, funded at close</t>
        </is>
      </c>
      <c r="D22" s="2" t="inlineStr">
        <is>
          <t>Brief §3</t>
        </is>
      </c>
    </row>
    <row r="23">
      <c r="A23" s="5" t="inlineStr">
        <is>
          <t>Minimum cash funded to balance sheet</t>
        </is>
      </c>
      <c r="B23" s="6" t="n">
        <v>5</v>
      </c>
      <c r="C23" s="2" t="inlineStr">
        <is>
          <t>$m, funded at close</t>
        </is>
      </c>
      <c r="D23" s="2" t="inlineStr">
        <is>
          <t>Brief §3</t>
        </is>
      </c>
    </row>
    <row r="24">
      <c r="A24" s="5" t="inlineStr">
        <is>
          <t>Senior Term Loan sizing</t>
        </is>
      </c>
      <c r="B24" s="10" t="n">
        <v>4.5</v>
      </c>
      <c r="C24" s="2" t="inlineStr">
        <is>
          <t>x entry LTM EBITDA</t>
        </is>
      </c>
      <c r="D24" s="2" t="inlineStr">
        <is>
          <t>Brief §3</t>
        </is>
      </c>
    </row>
    <row r="25">
      <c r="A25" s="5" t="inlineStr">
        <is>
          <t>Mezzanine Notes sizing</t>
        </is>
      </c>
      <c r="B25" s="10" t="n">
        <v>1</v>
      </c>
      <c r="C25" s="2" t="inlineStr">
        <is>
          <t>x entry LTM EBITDA</t>
        </is>
      </c>
      <c r="D25" s="2" t="inlineStr">
        <is>
          <t>Brief §3</t>
        </is>
      </c>
    </row>
    <row r="26">
      <c r="A26" s="5" t="inlineStr">
        <is>
          <t>SOFR (base rate)</t>
        </is>
      </c>
      <c r="B26" s="11" t="n">
        <v>0.04</v>
      </c>
      <c r="C26" s="2" t="inlineStr">
        <is>
          <t>flat, no floor</t>
        </is>
      </c>
      <c r="D26" s="2" t="inlineStr">
        <is>
          <t>Brief §3</t>
        </is>
      </c>
    </row>
    <row r="27">
      <c r="A27" s="5" t="inlineStr">
        <is>
          <t>Senior Term Loan spread</t>
        </is>
      </c>
      <c r="B27" s="11" t="n">
        <v>0.035</v>
      </c>
      <c r="C27" s="2" t="inlineStr">
        <is>
          <t>+350 bps</t>
        </is>
      </c>
      <c r="D27" s="2" t="inlineStr">
        <is>
          <t>Brief §3</t>
        </is>
      </c>
    </row>
    <row r="28">
      <c r="A28" s="5" t="inlineStr">
        <is>
          <t>Mezzanine Notes spread</t>
        </is>
      </c>
      <c r="B28" s="11" t="n">
        <v>0.07000000000000001</v>
      </c>
      <c r="C28" s="2" t="inlineStr">
        <is>
          <t>+700 bps</t>
        </is>
      </c>
      <c r="D28" s="2" t="inlineStr">
        <is>
          <t>Brief §3</t>
        </is>
      </c>
    </row>
    <row r="29">
      <c r="A29" s="5" t="inlineStr">
        <is>
          <t>Senior Term Loan tenor</t>
        </is>
      </c>
      <c r="B29" s="12" t="n">
        <v>7</v>
      </c>
      <c r="C29" s="2" t="inlineStr">
        <is>
          <t>years; bullet, no OID, no floor</t>
        </is>
      </c>
      <c r="D29" s="2" t="inlineStr">
        <is>
          <t>Brief §3</t>
        </is>
      </c>
    </row>
    <row r="30">
      <c r="A30" s="5" t="inlineStr">
        <is>
          <t>Mezzanine Notes tenor</t>
        </is>
      </c>
      <c r="B30" s="12" t="n">
        <v>8</v>
      </c>
      <c r="C30" s="2" t="inlineStr">
        <is>
          <t>years; bullet, no OID, no floor</t>
        </is>
      </c>
      <c r="D30" s="2" t="inlineStr">
        <is>
          <t>Brief §3</t>
        </is>
      </c>
    </row>
    <row r="31">
      <c r="A31" s="5" t="inlineStr">
        <is>
          <t>Scheduled amortization — both tranches (bullet)</t>
        </is>
      </c>
      <c r="B31" s="6" t="n">
        <v>0</v>
      </c>
      <c r="C31" s="2" t="inlineStr">
        <is>
          <t>$m / year</t>
        </is>
      </c>
      <c r="D31" s="2" t="inlineStr">
        <is>
          <t>Brief §3</t>
        </is>
      </c>
    </row>
    <row r="32">
      <c r="A32" s="5" t="inlineStr">
        <is>
          <t>Cash sweep</t>
        </is>
      </c>
      <c r="B32" s="9" t="n">
        <v>0</v>
      </c>
      <c r="C32" s="2" t="inlineStr">
        <is>
          <t>% of FCF — none per brief</t>
        </is>
      </c>
      <c r="D32" s="2" t="inlineStr">
        <is>
          <t>Brief §3</t>
        </is>
      </c>
    </row>
    <row r="33">
      <c r="A33" s="5" t="inlineStr">
        <is>
          <t>Interim distributions to sponsor</t>
        </is>
      </c>
      <c r="B33" s="6" t="n">
        <v>0</v>
      </c>
      <c r="C33" s="2" t="inlineStr">
        <is>
          <t>$m / year — none per brief</t>
        </is>
      </c>
      <c r="D33" s="2" t="inlineStr">
        <is>
          <t>Brief §5</t>
        </is>
      </c>
    </row>
    <row r="35">
      <c r="A35" s="3" t="inlineStr">
        <is>
          <t>4. OPERATING PLAN (PROJECTION YEARS 1–5)</t>
        </is>
      </c>
      <c r="B35" s="4" t="n"/>
      <c r="C35" s="4" t="n"/>
      <c r="D35" s="4" t="n"/>
      <c r="E35" s="4" t="n"/>
      <c r="F35" s="4" t="n"/>
    </row>
    <row r="36">
      <c r="B36" s="13" t="inlineStr">
        <is>
          <t>Year 1</t>
        </is>
      </c>
      <c r="C36" s="13" t="inlineStr">
        <is>
          <t>Year 2</t>
        </is>
      </c>
      <c r="D36" s="13" t="inlineStr">
        <is>
          <t>Year 3</t>
        </is>
      </c>
      <c r="E36" s="13" t="inlineStr">
        <is>
          <t>Year 4</t>
        </is>
      </c>
      <c r="F36" s="13" t="inlineStr">
        <is>
          <t>Year 5</t>
        </is>
      </c>
    </row>
    <row r="37">
      <c r="A37" s="5" t="inlineStr">
        <is>
          <t>Revenue growth</t>
        </is>
      </c>
      <c r="B37" s="9" t="n">
        <v>0.12</v>
      </c>
      <c r="C37" s="9" t="n">
        <v>0.11</v>
      </c>
      <c r="D37" s="9" t="n">
        <v>0.1</v>
      </c>
      <c r="E37" s="9" t="n">
        <v>0.09</v>
      </c>
      <c r="F37" s="9" t="n">
        <v>0.08</v>
      </c>
      <c r="G37" s="2" t="inlineStr">
        <is>
          <t>Brief §4</t>
        </is>
      </c>
    </row>
    <row r="38">
      <c r="A38" s="5" t="inlineStr">
        <is>
          <t>EBITDA margin</t>
        </is>
      </c>
      <c r="B38" s="9" t="n">
        <v>0.35</v>
      </c>
      <c r="C38" s="9" t="n">
        <v>0.36</v>
      </c>
      <c r="D38" s="9" t="n">
        <v>0.36</v>
      </c>
      <c r="E38" s="9" t="n">
        <v>0.37</v>
      </c>
      <c r="F38" s="9" t="n">
        <v>0.38</v>
      </c>
      <c r="G38" s="2" t="inlineStr">
        <is>
          <t>Brief §4</t>
        </is>
      </c>
    </row>
    <row r="39">
      <c r="A39" s="5" t="inlineStr">
        <is>
          <t>D&amp;A (% of revenue)</t>
        </is>
      </c>
      <c r="B39" s="9" t="n">
        <v>0.04</v>
      </c>
      <c r="D39" s="2" t="inlineStr">
        <is>
          <t>Brief §4</t>
        </is>
      </c>
    </row>
    <row r="40">
      <c r="A40" s="5" t="inlineStr">
        <is>
          <t>Maintenance capex (% of revenue)</t>
        </is>
      </c>
      <c r="B40" s="9" t="n">
        <v>0.03</v>
      </c>
      <c r="D40" s="2" t="inlineStr">
        <is>
          <t>Brief §4</t>
        </is>
      </c>
    </row>
    <row r="41">
      <c r="A41" s="5" t="inlineStr">
        <is>
          <t>Growth capex (% of revenue)</t>
        </is>
      </c>
      <c r="B41" s="9" t="n">
        <v>0.01</v>
      </c>
      <c r="D41" s="2" t="inlineStr">
        <is>
          <t>Brief §4</t>
        </is>
      </c>
    </row>
    <row r="42">
      <c r="A42" s="5" t="inlineStr">
        <is>
          <t>Change in NWC (% of Δ revenue)</t>
        </is>
      </c>
      <c r="B42" s="9" t="n">
        <v>0.05</v>
      </c>
      <c r="D42" s="2" t="inlineStr">
        <is>
          <t>Brief §4</t>
        </is>
      </c>
    </row>
    <row r="43">
      <c r="A43" s="5" t="inlineStr">
        <is>
          <t>Cash tax rate</t>
        </is>
      </c>
      <c r="B43" s="9" t="n">
        <v>0.25</v>
      </c>
      <c r="D43" s="2" t="inlineStr">
        <is>
          <t>Brief §4</t>
        </is>
      </c>
    </row>
    <row r="45">
      <c r="A45" s="3" t="inlineStr">
        <is>
          <t>5. EXIT</t>
        </is>
      </c>
      <c r="B45" s="4" t="n"/>
      <c r="C45" s="4" t="n"/>
      <c r="D45" s="4" t="n"/>
      <c r="E45" s="4" t="n"/>
      <c r="F45" s="4" t="n"/>
    </row>
    <row r="46">
      <c r="A46" s="5" t="inlineStr">
        <is>
          <t>Hold period</t>
        </is>
      </c>
      <c r="B46" s="12" t="n">
        <v>5</v>
      </c>
      <c r="C46" s="2" t="inlineStr">
        <is>
          <t>years (exit end of Year 5)</t>
        </is>
      </c>
      <c r="D46" s="2" t="inlineStr">
        <is>
          <t>Brief §5</t>
        </is>
      </c>
    </row>
    <row r="47">
      <c r="A47" s="5" t="inlineStr">
        <is>
          <t>Exit multiple (strategic sale)</t>
        </is>
      </c>
      <c r="B47" s="10" t="n">
        <v>9</v>
      </c>
      <c r="C47" s="2" t="inlineStr">
        <is>
          <t>x EV / EBITDA on PROJECTED Year-5 EBITDA (not entry LTM)</t>
        </is>
      </c>
      <c r="D47" s="2" t="inlineStr">
        <is>
          <t>Brief §5</t>
        </is>
      </c>
    </row>
    <row r="48">
      <c r="A48" s="2" t="inlineStr">
        <is>
          <t>Convention: the exit bridge deducts face debt outstanding from exit EV; accumulated balance-sheet cash is EXCLUDED from the bridge (stated conservative convention).</t>
        </is>
      </c>
      <c r="D48" s="2" t="inlineStr">
        <is>
          <t>Brief §3 / §5</t>
        </is>
      </c>
    </row>
    <row r="49">
      <c r="A49" s="2" t="inlineStr">
        <is>
          <t>Convention: interest accrues on the opening balance of each year; both tranches bullet; no cash sweep, no revolver, no dividend recap, no earnout, no PIK.</t>
        </is>
      </c>
      <c r="D49" s="2" t="inlineStr">
        <is>
          <t>Brief §3</t>
        </is>
      </c>
    </row>
    <row r="51">
      <c r="A51" s="3" t="inlineStr">
        <is>
          <t>6. SENSITIVITY GRID STEPS (model setting, not a brief input)</t>
        </is>
      </c>
      <c r="B51" s="4" t="n"/>
      <c r="C51" s="4" t="n"/>
      <c r="D51" s="4" t="n"/>
      <c r="E51" s="4" t="n"/>
      <c r="F51" s="4" t="n"/>
    </row>
    <row r="52">
      <c r="A52" s="5" t="inlineStr">
        <is>
          <t>Exit multiple step</t>
        </is>
      </c>
      <c r="B52" s="10" t="n">
        <v>0.5</v>
      </c>
      <c r="D52" s="2" t="inlineStr">
        <is>
          <t>Model setting</t>
        </is>
      </c>
    </row>
    <row r="53">
      <c r="A53" s="5" t="inlineStr">
        <is>
          <t>Growth delta step</t>
        </is>
      </c>
      <c r="B53" s="9" t="n">
        <v>0.01</v>
      </c>
      <c r="D53" s="2" t="inlineStr">
        <is>
          <t>Model setting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70" customWidth="1" min="3" max="3"/>
  </cols>
  <sheetData>
    <row r="1">
      <c r="A1" s="1" t="inlineStr">
        <is>
          <t>SOURCES &amp; USES OF FUNDS — AT CLOSE</t>
        </is>
      </c>
      <c r="B1" s="1" t="n"/>
      <c r="C1" s="1" t="n"/>
    </row>
    <row r="2">
      <c r="A2" s="2" t="inlineStr">
        <is>
          <t>USD millions. All lines are live formulas driven by the Assumptions sheet.</t>
        </is>
      </c>
    </row>
    <row r="4">
      <c r="A4" s="3" t="inlineStr">
        <is>
          <t>ENTRY VALUATION</t>
        </is>
      </c>
      <c r="B4" s="4" t="n"/>
      <c r="C4" s="4" t="n"/>
    </row>
    <row r="5">
      <c r="A5" s="5" t="inlineStr">
        <is>
          <t>Offer price per share</t>
        </is>
      </c>
      <c r="B5" s="14">
        <f>Share_Price*(1+Offer_Premium)</f>
        <v/>
      </c>
      <c r="C5" s="2" t="inlineStr">
        <is>
          <t>i.e. $4.40 × (1 + 25%) = $5.50  (Brief §2)</t>
        </is>
      </c>
    </row>
    <row r="6">
      <c r="A6" s="5" t="inlineStr">
        <is>
          <t>Equity purchase price</t>
        </is>
      </c>
      <c r="B6" s="7">
        <f>B5*FD_Shares+Option_Buyout</f>
        <v/>
      </c>
      <c r="C6" s="2" t="inlineStr">
        <is>
          <t>i.e. offer price × 60.0m fully diluted shares</t>
        </is>
      </c>
    </row>
    <row r="7">
      <c r="A7" s="5" t="inlineStr">
        <is>
          <t>Plus: target net debt at close</t>
        </is>
      </c>
      <c r="B7" s="15">
        <f>Net_Debt_Entry</f>
        <v/>
      </c>
    </row>
    <row r="8">
      <c r="A8" s="16" t="inlineStr">
        <is>
          <t>Entry enterprise value</t>
        </is>
      </c>
      <c r="B8" s="17">
        <f>B6+B7</f>
        <v/>
      </c>
    </row>
    <row r="9">
      <c r="A9" s="5" t="inlineStr">
        <is>
          <t>Implied entry EV / LTM EBITDA</t>
        </is>
      </c>
      <c r="B9" s="18">
        <f>B8/Entry_EBITDA</f>
        <v/>
      </c>
    </row>
    <row r="11">
      <c r="A11" s="3" t="inlineStr">
        <is>
          <t>USES OF FUNDS</t>
        </is>
      </c>
      <c r="B11" s="4" t="n"/>
      <c r="C11" s="4" t="n"/>
    </row>
    <row r="12">
      <c r="A12" s="5" t="inlineStr">
        <is>
          <t>Equity purchase price</t>
        </is>
      </c>
      <c r="B12" s="7">
        <f>B6</f>
        <v/>
      </c>
    </row>
    <row r="13">
      <c r="A13" s="5" t="inlineStr">
        <is>
          <t>Refinance target net debt</t>
        </is>
      </c>
      <c r="B13" s="15">
        <f>Net_Debt_Entry</f>
        <v/>
      </c>
    </row>
    <row r="14">
      <c r="A14" s="5" t="inlineStr">
        <is>
          <t>M&amp;A advisory fees</t>
        </is>
      </c>
      <c r="B14" s="15">
        <f>Advisory_Fees</f>
        <v/>
      </c>
    </row>
    <row r="15">
      <c r="A15" s="5" t="inlineStr">
        <is>
          <t>Financing fees</t>
        </is>
      </c>
      <c r="B15" s="15">
        <f>Financing_Fees</f>
        <v/>
      </c>
    </row>
    <row r="16">
      <c r="A16" s="5" t="inlineStr">
        <is>
          <t>Minimum cash funded to balance sheet</t>
        </is>
      </c>
      <c r="B16" s="15">
        <f>Min_Cash</f>
        <v/>
      </c>
    </row>
    <row r="17">
      <c r="A17" s="16" t="inlineStr">
        <is>
          <t>Total uses of funds</t>
        </is>
      </c>
      <c r="B17" s="19">
        <f>SUM(B12:B16)</f>
        <v/>
      </c>
    </row>
    <row r="19">
      <c r="A19" s="3" t="inlineStr">
        <is>
          <t>SOURCES OF FUNDS</t>
        </is>
      </c>
      <c r="B19" s="4" t="n"/>
      <c r="C19" s="4" t="n"/>
    </row>
    <row r="20">
      <c r="A20" s="5" t="inlineStr">
        <is>
          <t>Senior Term Loan</t>
        </is>
      </c>
      <c r="B20" s="15">
        <f>TL_Mult*Entry_EBITDA</f>
        <v/>
      </c>
      <c r="C20" s="2" t="inlineStr">
        <is>
          <t>4.5× EBITDA; SOFR 4.00% + 350 bps = 7.50% all-in; bullet, 7-year (Brief §3)</t>
        </is>
      </c>
    </row>
    <row r="21">
      <c r="A21" s="5" t="inlineStr">
        <is>
          <t>Mezzanine Notes</t>
        </is>
      </c>
      <c r="B21" s="15">
        <f>Mezz_Mult*Entry_EBITDA</f>
        <v/>
      </c>
      <c r="C21" s="2" t="inlineStr">
        <is>
          <t>1.0× EBITDA; SOFR 4.00% + 700 bps = 11.00% all-in; bullet, 8-year (Brief §3)</t>
        </is>
      </c>
    </row>
    <row r="22">
      <c r="A22" s="16" t="inlineStr">
        <is>
          <t>Sponsor equity (balancing plug, new money)</t>
        </is>
      </c>
      <c r="B22" s="20">
        <f>B17-B20-B21</f>
        <v/>
      </c>
      <c r="C22" s="2" t="inlineStr">
        <is>
          <t>i.e. total uses − total debt; no management rollover (Brief §3)</t>
        </is>
      </c>
    </row>
    <row r="23">
      <c r="A23" s="16" t="inlineStr">
        <is>
          <t>Total sources of funds</t>
        </is>
      </c>
      <c r="B23" s="19">
        <f>SUM(B20:B22)</f>
        <v/>
      </c>
    </row>
    <row r="25">
      <c r="A25" s="3" t="inlineStr">
        <is>
          <t>CHECKS &amp; PRO-FORMA CAPITALIZATION</t>
        </is>
      </c>
      <c r="B25" s="4" t="n"/>
      <c r="C25" s="4" t="n"/>
    </row>
    <row r="26">
      <c r="A26" s="5" t="inlineStr">
        <is>
          <t>Check: total sources − total uses (must be 0)</t>
        </is>
      </c>
      <c r="B26" s="21">
        <f>B23-B17</f>
        <v/>
      </c>
    </row>
    <row r="27">
      <c r="A27" s="5" t="inlineStr">
        <is>
          <t>Entry leverage — total debt / LTM EBITDA</t>
        </is>
      </c>
      <c r="B27" s="18">
        <f>(B20+B21)/Entry_EBITDA</f>
        <v/>
      </c>
    </row>
    <row r="28">
      <c r="A28" s="5" t="inlineStr">
        <is>
          <t>Senior leverage — Term Loan / LTM EBITDA</t>
        </is>
      </c>
      <c r="B28" s="18">
        <f>B20/Entry_EBITDA</f>
        <v/>
      </c>
    </row>
    <row r="29">
      <c r="A29" s="5" t="inlineStr">
        <is>
          <t>Equity % of total capitalization</t>
        </is>
      </c>
      <c r="B29" s="22">
        <f>B22/B23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OPERATING MODEL — P&amp;L, FREE CASH FLOW, CASH ROLL-FORWARD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USD millions. Historicals per Brief §1; projection drivers per Brief §4. Interest links from the Debt Schedule.</t>
        </is>
      </c>
    </row>
    <row r="4">
      <c r="B4" s="23" t="inlineStr">
        <is>
          <t>FY-2</t>
        </is>
      </c>
      <c r="C4" s="23" t="inlineStr">
        <is>
          <t>FY-1</t>
        </is>
      </c>
      <c r="D4" s="23" t="inlineStr">
        <is>
          <t>FY0 (Entry)</t>
        </is>
      </c>
      <c r="E4" s="23" t="inlineStr">
        <is>
          <t>Year 1</t>
        </is>
      </c>
      <c r="F4" s="23" t="inlineStr">
        <is>
          <t>Year 2</t>
        </is>
      </c>
      <c r="G4" s="23" t="inlineStr">
        <is>
          <t>Year 3</t>
        </is>
      </c>
      <c r="H4" s="23" t="inlineStr">
        <is>
          <t>Year 4</t>
        </is>
      </c>
      <c r="I4" s="23" t="inlineStr">
        <is>
          <t>Year 5 (Exit)</t>
        </is>
      </c>
    </row>
    <row r="5">
      <c r="A5" s="16" t="inlineStr">
        <is>
          <t>Revenue</t>
        </is>
      </c>
      <c r="B5" s="15">
        <f>Assumptions!$B$5</f>
        <v/>
      </c>
      <c r="C5" s="15">
        <f>Assumptions!$B$6</f>
        <v/>
      </c>
      <c r="D5" s="15">
        <f>Rev_FY0</f>
        <v/>
      </c>
      <c r="E5" s="7">
        <f>D5*(1+E6)</f>
        <v/>
      </c>
      <c r="F5" s="7">
        <f>E5*(1+F6)</f>
        <v/>
      </c>
      <c r="G5" s="7">
        <f>F5*(1+G6)</f>
        <v/>
      </c>
      <c r="H5" s="7">
        <f>G5*(1+H6)</f>
        <v/>
      </c>
      <c r="I5" s="7">
        <f>H5*(1+I6)</f>
        <v/>
      </c>
    </row>
    <row r="6">
      <c r="A6" s="5" t="inlineStr">
        <is>
          <t xml:space="preserve">  Revenue growth %</t>
        </is>
      </c>
      <c r="C6" s="22">
        <f>C5/B5-1</f>
        <v/>
      </c>
      <c r="D6" s="22">
        <f>D5/C5-1</f>
        <v/>
      </c>
      <c r="E6" s="24">
        <f>Growth_Y1</f>
        <v/>
      </c>
      <c r="F6" s="24">
        <f>Growth_Y2</f>
        <v/>
      </c>
      <c r="G6" s="24">
        <f>Growth_Y3</f>
        <v/>
      </c>
      <c r="H6" s="24">
        <f>Growth_Y4</f>
        <v/>
      </c>
      <c r="I6" s="24">
        <f>Growth_Y5</f>
        <v/>
      </c>
    </row>
    <row r="7">
      <c r="A7" s="5" t="inlineStr">
        <is>
          <t xml:space="preserve">  EBITDA margin %</t>
        </is>
      </c>
      <c r="B7" s="22">
        <f>B8/B5</f>
        <v/>
      </c>
      <c r="C7" s="22">
        <f>C8/C5</f>
        <v/>
      </c>
      <c r="D7" s="22">
        <f>D8/D5</f>
        <v/>
      </c>
      <c r="E7" s="24">
        <f>Margin_Y1</f>
        <v/>
      </c>
      <c r="F7" s="24">
        <f>Margin_Y2</f>
        <v/>
      </c>
      <c r="G7" s="24">
        <f>Margin_Y3</f>
        <v/>
      </c>
      <c r="H7" s="24">
        <f>Margin_Y4</f>
        <v/>
      </c>
      <c r="I7" s="24">
        <f>Margin_Y5</f>
        <v/>
      </c>
    </row>
    <row r="8">
      <c r="A8" s="16" t="inlineStr">
        <is>
          <t>EBITDA</t>
        </is>
      </c>
      <c r="B8" s="15">
        <f>Assumptions!$B$8</f>
        <v/>
      </c>
      <c r="C8" s="15">
        <f>Assumptions!$B$9</f>
        <v/>
      </c>
      <c r="D8" s="15">
        <f>Assumptions!$B$10</f>
        <v/>
      </c>
      <c r="E8" s="7">
        <f>E5*E7</f>
        <v/>
      </c>
      <c r="F8" s="7">
        <f>F5*F7</f>
        <v/>
      </c>
      <c r="G8" s="7">
        <f>G5*G7</f>
        <v/>
      </c>
      <c r="H8" s="7">
        <f>H5*H7</f>
        <v/>
      </c>
      <c r="I8" s="7">
        <f>I5*I7</f>
        <v/>
      </c>
    </row>
    <row r="9">
      <c r="A9" s="5" t="inlineStr">
        <is>
          <t>Less: D&amp;A (4.0% of revenue)</t>
        </is>
      </c>
      <c r="E9" s="15">
        <f>-DA_Pct*E5</f>
        <v/>
      </c>
      <c r="F9" s="15">
        <f>-DA_Pct*F5</f>
        <v/>
      </c>
      <c r="G9" s="15">
        <f>-DA_Pct*G5</f>
        <v/>
      </c>
      <c r="H9" s="15">
        <f>-DA_Pct*H5</f>
        <v/>
      </c>
      <c r="I9" s="15">
        <f>-DA_Pct*I5</f>
        <v/>
      </c>
    </row>
    <row r="10">
      <c r="A10" s="5" t="inlineStr">
        <is>
          <t>EBIT</t>
        </is>
      </c>
      <c r="E10" s="25">
        <f>E8+E9</f>
        <v/>
      </c>
      <c r="F10" s="25">
        <f>F8+F9</f>
        <v/>
      </c>
      <c r="G10" s="25">
        <f>G8+G9</f>
        <v/>
      </c>
      <c r="H10" s="25">
        <f>H8+H9</f>
        <v/>
      </c>
      <c r="I10" s="25">
        <f>I8+I9</f>
        <v/>
      </c>
    </row>
    <row r="11">
      <c r="A11" s="5" t="inlineStr">
        <is>
          <t>Less: cash interest expense</t>
        </is>
      </c>
      <c r="E11" s="15">
        <f>-'Debt Schedule'!B21</f>
        <v/>
      </c>
      <c r="F11" s="15">
        <f>-'Debt Schedule'!C21</f>
        <v/>
      </c>
      <c r="G11" s="15">
        <f>-'Debt Schedule'!D21</f>
        <v/>
      </c>
      <c r="H11" s="15">
        <f>-'Debt Schedule'!E21</f>
        <v/>
      </c>
      <c r="I11" s="15">
        <f>-'Debt Schedule'!F21</f>
        <v/>
      </c>
    </row>
    <row r="12">
      <c r="A12" s="5" t="inlineStr">
        <is>
          <t>Pre-tax income (EBT)</t>
        </is>
      </c>
      <c r="E12" s="7">
        <f>E10+E11</f>
        <v/>
      </c>
      <c r="F12" s="7">
        <f>F10+F11</f>
        <v/>
      </c>
      <c r="G12" s="7">
        <f>G10+G11</f>
        <v/>
      </c>
      <c r="H12" s="7">
        <f>H10+H11</f>
        <v/>
      </c>
      <c r="I12" s="7">
        <f>I10+I11</f>
        <v/>
      </c>
    </row>
    <row r="13">
      <c r="A13" s="5" t="inlineStr">
        <is>
          <t>Less: cash taxes (25% of positive EBT)</t>
        </is>
      </c>
      <c r="E13" s="15">
        <f>-MAX(0,E12)*Tax_Rate</f>
        <v/>
      </c>
      <c r="F13" s="15">
        <f>-MAX(0,F12)*Tax_Rate</f>
        <v/>
      </c>
      <c r="G13" s="15">
        <f>-MAX(0,G12)*Tax_Rate</f>
        <v/>
      </c>
      <c r="H13" s="15">
        <f>-MAX(0,H12)*Tax_Rate</f>
        <v/>
      </c>
      <c r="I13" s="15">
        <f>-MAX(0,I12)*Tax_Rate</f>
        <v/>
      </c>
    </row>
    <row r="14">
      <c r="A14" s="16" t="inlineStr">
        <is>
          <t>Net income</t>
        </is>
      </c>
      <c r="E14" s="17">
        <f>E12+E13</f>
        <v/>
      </c>
      <c r="F14" s="17">
        <f>F12+F13</f>
        <v/>
      </c>
      <c r="G14" s="17">
        <f>G12+G13</f>
        <v/>
      </c>
      <c r="H14" s="17">
        <f>H12+H13</f>
        <v/>
      </c>
      <c r="I14" s="17">
        <f>I12+I13</f>
        <v/>
      </c>
    </row>
    <row r="16">
      <c r="A16" s="3" t="inlineStr">
        <is>
          <t>LEVERED FREE CASH FLOW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5" t="inlineStr">
        <is>
          <t>Net income</t>
        </is>
      </c>
      <c r="E17" s="7">
        <f>E14</f>
        <v/>
      </c>
      <c r="F17" s="7">
        <f>F14</f>
        <v/>
      </c>
      <c r="G17" s="7">
        <f>G14</f>
        <v/>
      </c>
      <c r="H17" s="7">
        <f>H14</f>
        <v/>
      </c>
      <c r="I17" s="7">
        <f>I14</f>
        <v/>
      </c>
    </row>
    <row r="18">
      <c r="A18" s="5" t="inlineStr">
        <is>
          <t>Plus: D&amp;A</t>
        </is>
      </c>
      <c r="E18" s="7">
        <f>-E9</f>
        <v/>
      </c>
      <c r="F18" s="7">
        <f>-F9</f>
        <v/>
      </c>
      <c r="G18" s="7">
        <f>-G9</f>
        <v/>
      </c>
      <c r="H18" s="7">
        <f>-H9</f>
        <v/>
      </c>
      <c r="I18" s="7">
        <f>-I9</f>
        <v/>
      </c>
    </row>
    <row r="19">
      <c r="A19" s="5" t="inlineStr">
        <is>
          <t>Less: maintenance capex (3.0% of revenue)</t>
        </is>
      </c>
      <c r="E19" s="15">
        <f>-MaintCapex_Pct*E5</f>
        <v/>
      </c>
      <c r="F19" s="15">
        <f>-MaintCapex_Pct*F5</f>
        <v/>
      </c>
      <c r="G19" s="15">
        <f>-MaintCapex_Pct*G5</f>
        <v/>
      </c>
      <c r="H19" s="15">
        <f>-MaintCapex_Pct*H5</f>
        <v/>
      </c>
      <c r="I19" s="15">
        <f>-MaintCapex_Pct*I5</f>
        <v/>
      </c>
    </row>
    <row r="20">
      <c r="A20" s="5" t="inlineStr">
        <is>
          <t>Less: growth capex (1.0% of revenue)</t>
        </is>
      </c>
      <c r="E20" s="15">
        <f>-GrowthCapex_Pct*E5</f>
        <v/>
      </c>
      <c r="F20" s="15">
        <f>-GrowthCapex_Pct*F5</f>
        <v/>
      </c>
      <c r="G20" s="15">
        <f>-GrowthCapex_Pct*G5</f>
        <v/>
      </c>
      <c r="H20" s="15">
        <f>-GrowthCapex_Pct*H5</f>
        <v/>
      </c>
      <c r="I20" s="15">
        <f>-GrowthCapex_Pct*I5</f>
        <v/>
      </c>
    </row>
    <row r="21">
      <c r="A21" s="5" t="inlineStr">
        <is>
          <t>Less: increase in net working capital (5% of Δ revenue)</t>
        </is>
      </c>
      <c r="E21" s="15">
        <f>-NWC_Pct*(E5-D5)</f>
        <v/>
      </c>
      <c r="F21" s="15">
        <f>-NWC_Pct*(F5-E5)</f>
        <v/>
      </c>
      <c r="G21" s="15">
        <f>-NWC_Pct*(G5-F5)</f>
        <v/>
      </c>
      <c r="H21" s="15">
        <f>-NWC_Pct*(H5-G5)</f>
        <v/>
      </c>
      <c r="I21" s="15">
        <f>-NWC_Pct*(I5-H5)</f>
        <v/>
      </c>
    </row>
    <row r="22">
      <c r="A22" s="16" t="inlineStr">
        <is>
          <t>Levered free cash flow (no scheduled amortization)</t>
        </is>
      </c>
      <c r="E22" s="19">
        <f>SUM(E17:E21)</f>
        <v/>
      </c>
      <c r="F22" s="19">
        <f>SUM(F17:F21)</f>
        <v/>
      </c>
      <c r="G22" s="19">
        <f>SUM(G17:G21)</f>
        <v/>
      </c>
      <c r="H22" s="19">
        <f>SUM(H17:H21)</f>
        <v/>
      </c>
      <c r="I22" s="19">
        <f>SUM(I17:I21)</f>
        <v/>
      </c>
    </row>
    <row r="24">
      <c r="A24" s="3" t="inlineStr">
        <is>
          <t>CASH ROLL-FORWARD (no cash sweep — FCF accumulates on the balance sheet)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Beginning cash</t>
        </is>
      </c>
      <c r="E25" s="15">
        <f>'Sources and Uses'!$B$16</f>
        <v/>
      </c>
      <c r="F25" s="7">
        <f>E27</f>
        <v/>
      </c>
      <c r="G25" s="7">
        <f>F27</f>
        <v/>
      </c>
      <c r="H25" s="7">
        <f>G27</f>
        <v/>
      </c>
      <c r="I25" s="7">
        <f>H27</f>
        <v/>
      </c>
    </row>
    <row r="26">
      <c r="A26" s="5" t="inlineStr">
        <is>
          <t>Plus: levered free cash flow</t>
        </is>
      </c>
      <c r="E26" s="7">
        <f>E22</f>
        <v/>
      </c>
      <c r="F26" s="7">
        <f>F22</f>
        <v/>
      </c>
      <c r="G26" s="7">
        <f>G22</f>
        <v/>
      </c>
      <c r="H26" s="7">
        <f>H22</f>
        <v/>
      </c>
      <c r="I26" s="7">
        <f>I22</f>
        <v/>
      </c>
    </row>
    <row r="27">
      <c r="A27" s="16" t="inlineStr">
        <is>
          <t>Ending cash</t>
        </is>
      </c>
      <c r="E27" s="17">
        <f>E25+E26</f>
        <v/>
      </c>
      <c r="F27" s="17">
        <f>F25+F26</f>
        <v/>
      </c>
      <c r="G27" s="17">
        <f>G25+G26</f>
        <v/>
      </c>
      <c r="H27" s="17">
        <f>H25+H26</f>
        <v/>
      </c>
      <c r="I27" s="17">
        <f>I25+I26</f>
        <v/>
      </c>
    </row>
    <row r="28">
      <c r="A28" s="2" t="inlineStr">
        <is>
          <t>Memo: ending cash is EXCLUDED from the equity bridge at exit (stated conservative convention, Brief §3 / §5).</t>
        </is>
      </c>
    </row>
    <row r="30">
      <c r="A30" s="3" t="inlineStr">
        <is>
          <t>CREDIT STATISTICS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5" t="inlineStr">
        <is>
          <t>Total debt — end of period</t>
        </is>
      </c>
      <c r="E31" s="15">
        <f>'Debt Schedule'!B20</f>
        <v/>
      </c>
      <c r="F31" s="15">
        <f>'Debt Schedule'!C20</f>
        <v/>
      </c>
      <c r="G31" s="15">
        <f>'Debt Schedule'!D20</f>
        <v/>
      </c>
      <c r="H31" s="15">
        <f>'Debt Schedule'!E20</f>
        <v/>
      </c>
      <c r="I31" s="15">
        <f>'Debt Schedule'!F20</f>
        <v/>
      </c>
    </row>
    <row r="32">
      <c r="A32" s="5" t="inlineStr">
        <is>
          <t>Gross leverage — total debt / EBITDA</t>
        </is>
      </c>
      <c r="E32" s="26">
        <f>E31/E8</f>
        <v/>
      </c>
      <c r="F32" s="26">
        <f>F31/F8</f>
        <v/>
      </c>
      <c r="G32" s="26">
        <f>G31/G8</f>
        <v/>
      </c>
      <c r="H32" s="26">
        <f>H31/H8</f>
        <v/>
      </c>
      <c r="I32" s="26">
        <f>I31/I8</f>
        <v/>
      </c>
    </row>
    <row r="33">
      <c r="A33" s="5" t="inlineStr">
        <is>
          <t>Net leverage — (total debt − cash) / EBITDA</t>
        </is>
      </c>
      <c r="E33" s="26">
        <f>(E31-E27)/E8</f>
        <v/>
      </c>
      <c r="F33" s="26">
        <f>(F31-F27)/F8</f>
        <v/>
      </c>
      <c r="G33" s="26">
        <f>(G31-G27)/G8</f>
        <v/>
      </c>
      <c r="H33" s="26">
        <f>(H31-H27)/H8</f>
        <v/>
      </c>
      <c r="I33" s="26">
        <f>(I31-I27)/I8</f>
        <v/>
      </c>
    </row>
    <row r="34">
      <c r="A34" s="5" t="inlineStr">
        <is>
          <t>Interest coverage — EBITDA / cash interest</t>
        </is>
      </c>
      <c r="E34" s="26">
        <f>E8/-E11</f>
        <v/>
      </c>
      <c r="F34" s="26">
        <f>F8/-F11</f>
        <v/>
      </c>
      <c r="G34" s="26">
        <f>G8/-G11</f>
        <v/>
      </c>
      <c r="H34" s="26">
        <f>H8/-H11</f>
        <v/>
      </c>
      <c r="I34" s="26">
        <f>I8/-I11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DEBT SCHEDULE — PER-TRANCHE ROLL-FORWARD</t>
        </is>
      </c>
      <c r="B1" s="1" t="n"/>
      <c r="C1" s="1" t="n"/>
      <c r="D1" s="1" t="n"/>
      <c r="E1" s="1" t="n"/>
      <c r="F1" s="1" t="n"/>
    </row>
    <row r="2">
      <c r="A2" s="2" t="inlineStr">
        <is>
          <t>USD millions. Interest accrues on the opening balance of each year (Brief §3). Both tranches are bullet with no cash sweep, so balances are flat through exit.</t>
        </is>
      </c>
    </row>
    <row r="4">
      <c r="B4" s="23" t="inlineStr">
        <is>
          <t>Year 1</t>
        </is>
      </c>
      <c r="C4" s="23" t="inlineStr">
        <is>
          <t>Year 2</t>
        </is>
      </c>
      <c r="D4" s="23" t="inlineStr">
        <is>
          <t>Year 3</t>
        </is>
      </c>
      <c r="E4" s="23" t="inlineStr">
        <is>
          <t>Year 4</t>
        </is>
      </c>
      <c r="F4" s="23" t="inlineStr">
        <is>
          <t>Year 5</t>
        </is>
      </c>
    </row>
    <row r="5">
      <c r="A5" s="3" t="inlineStr">
        <is>
          <t>SENIOR TERM LOAN — SOFR + 350 bps, bullet, 7-year tenor</t>
        </is>
      </c>
      <c r="B5" s="4" t="n"/>
      <c r="C5" s="4" t="n"/>
      <c r="D5" s="4" t="n"/>
      <c r="E5" s="4" t="n"/>
      <c r="F5" s="4" t="n"/>
    </row>
    <row r="6">
      <c r="A6" s="5" t="inlineStr">
        <is>
          <t>All-in interest rate (SOFR 4.00% + 3.50%)</t>
        </is>
      </c>
      <c r="B6" s="27">
        <f>SOFR_Rate+TL_Spread</f>
        <v/>
      </c>
    </row>
    <row r="7">
      <c r="A7" s="5" t="inlineStr">
        <is>
          <t>Opening balance</t>
        </is>
      </c>
      <c r="B7" s="15">
        <f>TL_Amount</f>
        <v/>
      </c>
      <c r="C7" s="7">
        <f>B9</f>
        <v/>
      </c>
      <c r="D7" s="7">
        <f>C9</f>
        <v/>
      </c>
      <c r="E7" s="7">
        <f>D9</f>
        <v/>
      </c>
      <c r="F7" s="7">
        <f>E9</f>
        <v/>
      </c>
    </row>
    <row r="8">
      <c r="A8" s="5" t="inlineStr">
        <is>
          <t>Less: scheduled repayment (bullet — none)</t>
        </is>
      </c>
      <c r="B8" s="15">
        <f>-Sched_Amort</f>
        <v/>
      </c>
      <c r="C8" s="15">
        <f>-Sched_Amort</f>
        <v/>
      </c>
      <c r="D8" s="15">
        <f>-Sched_Amort</f>
        <v/>
      </c>
      <c r="E8" s="15">
        <f>-Sched_Amort</f>
        <v/>
      </c>
      <c r="F8" s="15">
        <f>-Sched_Amort</f>
        <v/>
      </c>
    </row>
    <row r="9">
      <c r="A9" s="16" t="inlineStr">
        <is>
          <t>Closing balance</t>
        </is>
      </c>
      <c r="B9" s="17">
        <f>B7+B8</f>
        <v/>
      </c>
      <c r="C9" s="17">
        <f>C7+C8</f>
        <v/>
      </c>
      <c r="D9" s="17">
        <f>D7+D8</f>
        <v/>
      </c>
      <c r="E9" s="17">
        <f>E7+E8</f>
        <v/>
      </c>
      <c r="F9" s="17">
        <f>F7+F8</f>
        <v/>
      </c>
    </row>
    <row r="10">
      <c r="A10" s="5" t="inlineStr">
        <is>
          <t>Interest expense (opening balance × all-in rate)</t>
        </is>
      </c>
      <c r="B10" s="7">
        <f>B7*$B$6</f>
        <v/>
      </c>
      <c r="C10" s="7">
        <f>C7*$B$6</f>
        <v/>
      </c>
      <c r="D10" s="7">
        <f>D7*$B$6</f>
        <v/>
      </c>
      <c r="E10" s="7">
        <f>E7*$B$6</f>
        <v/>
      </c>
      <c r="F10" s="7">
        <f>F7*$B$6</f>
        <v/>
      </c>
    </row>
    <row r="12">
      <c r="A12" s="3" t="inlineStr">
        <is>
          <t>MEZZANINE NOTES — SOFR + 700 bps, bullet, 8-year tenor</t>
        </is>
      </c>
      <c r="B12" s="4" t="n"/>
      <c r="C12" s="4" t="n"/>
      <c r="D12" s="4" t="n"/>
      <c r="E12" s="4" t="n"/>
      <c r="F12" s="4" t="n"/>
    </row>
    <row r="13">
      <c r="A13" s="5" t="inlineStr">
        <is>
          <t>All-in interest rate (SOFR 4.00% + 7.00%)</t>
        </is>
      </c>
      <c r="B13" s="27">
        <f>SOFR_Rate+Mezz_Spread</f>
        <v/>
      </c>
    </row>
    <row r="14">
      <c r="A14" s="5" t="inlineStr">
        <is>
          <t>Opening balance</t>
        </is>
      </c>
      <c r="B14" s="15">
        <f>Mezz_Amount</f>
        <v/>
      </c>
      <c r="C14" s="7">
        <f>B16</f>
        <v/>
      </c>
      <c r="D14" s="7">
        <f>C16</f>
        <v/>
      </c>
      <c r="E14" s="7">
        <f>D16</f>
        <v/>
      </c>
      <c r="F14" s="7">
        <f>E16</f>
        <v/>
      </c>
    </row>
    <row r="15">
      <c r="A15" s="5" t="inlineStr">
        <is>
          <t>Less: scheduled repayment (bullet — none)</t>
        </is>
      </c>
      <c r="B15" s="15">
        <f>-Sched_Amort</f>
        <v/>
      </c>
      <c r="C15" s="15">
        <f>-Sched_Amort</f>
        <v/>
      </c>
      <c r="D15" s="15">
        <f>-Sched_Amort</f>
        <v/>
      </c>
      <c r="E15" s="15">
        <f>-Sched_Amort</f>
        <v/>
      </c>
      <c r="F15" s="15">
        <f>-Sched_Amort</f>
        <v/>
      </c>
    </row>
    <row r="16">
      <c r="A16" s="16" t="inlineStr">
        <is>
          <t>Closing balance</t>
        </is>
      </c>
      <c r="B16" s="17">
        <f>B14+B15</f>
        <v/>
      </c>
      <c r="C16" s="17">
        <f>C14+C15</f>
        <v/>
      </c>
      <c r="D16" s="17">
        <f>D14+D15</f>
        <v/>
      </c>
      <c r="E16" s="17">
        <f>E14+E15</f>
        <v/>
      </c>
      <c r="F16" s="17">
        <f>F14+F15</f>
        <v/>
      </c>
    </row>
    <row r="17">
      <c r="A17" s="5" t="inlineStr">
        <is>
          <t>Interest expense (opening balance × all-in rate)</t>
        </is>
      </c>
      <c r="B17" s="7">
        <f>B14*$B$13</f>
        <v/>
      </c>
      <c r="C17" s="7">
        <f>C14*$B$13</f>
        <v/>
      </c>
      <c r="D17" s="7">
        <f>D14*$B$13</f>
        <v/>
      </c>
      <c r="E17" s="7">
        <f>E14*$B$13</f>
        <v/>
      </c>
      <c r="F17" s="7">
        <f>F14*$B$13</f>
        <v/>
      </c>
    </row>
    <row r="19">
      <c r="A19" s="3" t="inlineStr">
        <is>
          <t>TOTAL DEBT</t>
        </is>
      </c>
      <c r="B19" s="4" t="n"/>
      <c r="C19" s="4" t="n"/>
      <c r="D19" s="4" t="n"/>
      <c r="E19" s="4" t="n"/>
      <c r="F19" s="4" t="n"/>
    </row>
    <row r="20">
      <c r="A20" s="16" t="inlineStr">
        <is>
          <t>Total debt — closing balance</t>
        </is>
      </c>
      <c r="B20" s="20">
        <f>B9+B16</f>
        <v/>
      </c>
      <c r="C20" s="20">
        <f>C9+C16</f>
        <v/>
      </c>
      <c r="D20" s="20">
        <f>D9+D16</f>
        <v/>
      </c>
      <c r="E20" s="20">
        <f>E9+E16</f>
        <v/>
      </c>
      <c r="F20" s="20">
        <f>F9+F16</f>
        <v/>
      </c>
    </row>
    <row r="21">
      <c r="A21" s="16" t="inlineStr">
        <is>
          <t>Total cash interest expense</t>
        </is>
      </c>
      <c r="B21" s="20">
        <f>B10+B17</f>
        <v/>
      </c>
      <c r="C21" s="20">
        <f>C10+C17</f>
        <v/>
      </c>
      <c r="D21" s="20">
        <f>D10+D17</f>
        <v/>
      </c>
      <c r="E21" s="20">
        <f>E10+E17</f>
        <v/>
      </c>
      <c r="F21" s="20">
        <f>F10+F17</f>
        <v/>
      </c>
    </row>
    <row r="23">
      <c r="A23" s="16" t="inlineStr">
        <is>
          <t>Debt outstanding at exit (face value, end of Year 5)</t>
        </is>
      </c>
      <c r="B23" s="20">
        <f>F20</f>
        <v/>
      </c>
    </row>
    <row r="24">
      <c r="A24" s="5" t="inlineStr">
        <is>
          <t>Check: exit debt − (Term Loan + Mezzanine at close) (must be 0)</t>
        </is>
      </c>
      <c r="B24" s="28">
        <f>B23-(TL_Amount+Mezz_Amount)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RETURNS ANALYSIS — EXIT BRIDGE, CASH FLOWS &amp; HEADLINE OUTPUTS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USD millions. Exit at end of Year 5 via strategic sale at 9.0× projected Year-5 EBITDA (Brief §5). No interim distributions.</t>
        </is>
      </c>
    </row>
    <row r="4">
      <c r="A4" s="3" t="inlineStr">
        <is>
          <t>EQUITY BRIDGE AT EXIT (END OF YEAR 5)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Projected Year-5 EBITDA (exit basis — NOT entry LTM)</t>
        </is>
      </c>
      <c r="B5" s="15">
        <f>EBITDA_Y5</f>
        <v/>
      </c>
    </row>
    <row r="6">
      <c r="A6" s="5" t="inlineStr">
        <is>
          <t>Exit EV / EBITDA multiple (strategic sale)</t>
        </is>
      </c>
      <c r="B6" s="18">
        <f>Exit_Multiple</f>
        <v/>
      </c>
    </row>
    <row r="7">
      <c r="A7" s="5" t="inlineStr">
        <is>
          <t>Exit enterprise value</t>
        </is>
      </c>
      <c r="B7" s="7">
        <f>B5*B6</f>
        <v/>
      </c>
    </row>
    <row r="8">
      <c r="A8" s="5" t="inlineStr">
        <is>
          <t>Less: debt outstanding at exit (face value)</t>
        </is>
      </c>
      <c r="B8" s="15">
        <f>-Debt_AtExit</f>
        <v/>
      </c>
    </row>
    <row r="9">
      <c r="A9" s="16" t="inlineStr">
        <is>
          <t>Exit equity proceeds</t>
        </is>
      </c>
      <c r="B9" s="19">
        <f>B7+B8</f>
        <v/>
      </c>
    </row>
    <row r="10">
      <c r="A10" s="5" t="inlineStr">
        <is>
          <t>Memo: accumulated cash at exit — EXCLUDED from the bridge per brief convention</t>
        </is>
      </c>
      <c r="B10" s="15">
        <f>'Operating Model'!I27</f>
        <v/>
      </c>
    </row>
    <row r="12">
      <c r="A12" s="3" t="inlineStr">
        <is>
          <t>SPONSOR CASH FLOWS (ANNUAL)</t>
        </is>
      </c>
      <c r="B12" s="4" t="n"/>
      <c r="C12" s="4" t="n"/>
      <c r="D12" s="4" t="n"/>
      <c r="E12" s="4" t="n"/>
      <c r="F12" s="4" t="n"/>
      <c r="G12" s="4" t="n"/>
    </row>
    <row r="13">
      <c r="B13" s="23" t="inlineStr">
        <is>
          <t>Year 0 (Close)</t>
        </is>
      </c>
      <c r="C13" s="23" t="inlineStr">
        <is>
          <t>Year 1</t>
        </is>
      </c>
      <c r="D13" s="23" t="inlineStr">
        <is>
          <t>Year 2</t>
        </is>
      </c>
      <c r="E13" s="23" t="inlineStr">
        <is>
          <t>Year 3</t>
        </is>
      </c>
      <c r="F13" s="23" t="inlineStr">
        <is>
          <t>Year 4</t>
        </is>
      </c>
      <c r="G13" s="23" t="inlineStr">
        <is>
          <t>Year 5 (Exit)</t>
        </is>
      </c>
    </row>
    <row r="14">
      <c r="A14" s="16" t="inlineStr">
        <is>
          <t>Sponsor cash flow</t>
        </is>
      </c>
      <c r="B14" s="15">
        <f>-Sponsor_Equity</f>
        <v/>
      </c>
      <c r="C14" s="15">
        <f>Dist_PerYear</f>
        <v/>
      </c>
      <c r="D14" s="15">
        <f>Dist_PerYear</f>
        <v/>
      </c>
      <c r="E14" s="15">
        <f>Dist_PerYear</f>
        <v/>
      </c>
      <c r="F14" s="15">
        <f>Dist_PerYear</f>
        <v/>
      </c>
      <c r="G14" s="15">
        <f>Dist_PerYear+$B$9</f>
        <v/>
      </c>
    </row>
    <row r="16">
      <c r="A16" s="3" t="inlineStr">
        <is>
          <t>RETURN CALCULATIONS</t>
        </is>
      </c>
      <c r="B16" s="4" t="n"/>
      <c r="C16" s="4" t="n"/>
      <c r="D16" s="4" t="n"/>
      <c r="E16" s="4" t="n"/>
      <c r="F16" s="4" t="n"/>
      <c r="G16" s="4" t="n"/>
    </row>
    <row r="17">
      <c r="A17" s="16" t="inlineStr">
        <is>
          <t>IRR — internal rate of return on sponsor cash flows (annual)</t>
        </is>
      </c>
      <c r="B17" s="29">
        <f>IRR(B14:G14)</f>
        <v/>
      </c>
    </row>
    <row r="18">
      <c r="A18" s="16" t="inlineStr">
        <is>
          <t>MoIC — multiple of invested capital (total inflows / equity invested)</t>
        </is>
      </c>
      <c r="B18" s="30">
        <f>SUM(C14:G14)/-B14</f>
        <v/>
      </c>
    </row>
    <row r="20">
      <c r="A20" s="3" t="inlineStr">
        <is>
          <t>HEADLINE OUTPUTS (BENCHMARK LABELS)</t>
        </is>
      </c>
      <c r="B20" s="4" t="n"/>
      <c r="C20" s="4" t="n"/>
      <c r="D20" s="4" t="n"/>
      <c r="E20" s="4" t="n"/>
      <c r="F20" s="4" t="n"/>
      <c r="G20" s="4" t="n"/>
    </row>
    <row r="21">
      <c r="A21" s="31" t="inlineStr">
        <is>
          <t>Sponsor IRR (sponsor_irr) — annual, decimal</t>
        </is>
      </c>
      <c r="B21" s="32">
        <f>B17</f>
        <v/>
      </c>
      <c r="C21" s="2" t="inlineStr">
        <is>
          <t>shown as decimal; equals 15.46% annualized</t>
        </is>
      </c>
    </row>
    <row r="22">
      <c r="A22" s="31" t="inlineStr">
        <is>
          <t>Sponsor MoIC (sponsor_moic) — x invested capital</t>
        </is>
      </c>
      <c r="B22" s="33">
        <f>B18</f>
        <v/>
      </c>
    </row>
    <row r="23">
      <c r="A23" s="31" t="inlineStr">
        <is>
          <t>Exit equity proceeds (exit_equity_proceeds) — $m</t>
        </is>
      </c>
      <c r="B23" s="34">
        <f>B9</f>
        <v/>
      </c>
    </row>
    <row r="24">
      <c r="A24" s="31" t="inlineStr">
        <is>
          <t>Sponsor equity cheque (sponsor_equity_cheque) — $m</t>
        </is>
      </c>
      <c r="B24" s="35">
        <f>Sponsor_Equity</f>
        <v/>
      </c>
    </row>
    <row r="26">
      <c r="A26" s="3" t="inlineStr">
        <is>
          <t>CHECKS</t>
        </is>
      </c>
      <c r="B26" s="4" t="n"/>
      <c r="C26" s="4" t="n"/>
      <c r="D26" s="4" t="n"/>
      <c r="E26" s="4" t="n"/>
      <c r="F26" s="4" t="n"/>
      <c r="G26" s="4" t="n"/>
    </row>
    <row r="27">
      <c r="A27" s="5" t="inlineStr">
        <is>
          <t>Check: power-law cross-check of annual return (single-inflow profile; must be ~0)</t>
        </is>
      </c>
      <c r="B27" s="28">
        <f>ABS((SUM(C14:G14)/-B14)^(1/Hold_Years)-1-B17)</f>
        <v/>
      </c>
    </row>
    <row r="28">
      <c r="A28" s="5" t="inlineStr">
        <is>
          <t>Check: sources and uses balanced (must be 0)</t>
        </is>
      </c>
      <c r="B28" s="28">
        <f>'Sources and Uses'!B26</f>
        <v/>
      </c>
    </row>
    <row r="29">
      <c r="A29" s="5" t="inlineStr">
        <is>
          <t>Check: exit debt equals face value of tranches (must be 0)</t>
        </is>
      </c>
      <c r="B29" s="28">
        <f>'Debt Schedule'!B24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 ANALYSIS — EXIT MULTIPLE × REVENUE GROWTH DELTA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Closed-form grids (live formulas): annual return = ((M × Year-5 EBITDA(Δg) − exit debt) / invested equity)^(1/5) − 1, where Δg shifts every projection-year growth rate uniformly. Center cell = base case (9.0×, Δg = 0).</t>
        </is>
      </c>
    </row>
    <row r="4">
      <c r="A4" s="3" t="inlineStr">
        <is>
          <t>GRID 1 — ANNUALIZED SPONSOR RETURN</t>
        </is>
      </c>
      <c r="B4" s="4" t="n"/>
      <c r="C4" s="4" t="n"/>
      <c r="D4" s="4" t="n"/>
      <c r="E4" s="4" t="n"/>
      <c r="F4" s="4" t="n"/>
      <c r="G4" s="4" t="n"/>
    </row>
    <row r="5">
      <c r="B5" s="36" t="inlineStr">
        <is>
          <t>EV/EBITDA ↓   Δ growth →</t>
        </is>
      </c>
      <c r="C5" s="37">
        <f>-2*Sens_GrowthStep</f>
        <v/>
      </c>
      <c r="D5" s="38">
        <f>C5+Sens_GrowthStep</f>
        <v/>
      </c>
      <c r="E5" s="38">
        <f>D5+Sens_GrowthStep</f>
        <v/>
      </c>
      <c r="F5" s="38">
        <f>E5+Sens_GrowthStep</f>
        <v/>
      </c>
      <c r="G5" s="38">
        <f>F5+Sens_GrowthStep</f>
        <v/>
      </c>
    </row>
    <row r="6">
      <c r="B6" s="39">
        <f>Exit_Multiple-2*Sens_MultStep</f>
        <v/>
      </c>
      <c r="C6" s="40">
        <f>(($B6*(Rev_FY0*(1+Growth_Y1+C$5)*(1+Growth_Y2+C$5)*(1+Growth_Y3+C$5)*(1+Growth_Y4+C$5)*(1+Growth_Y5+C$5)*Margin_Y5)-Debt_AtExit)/Sponsor_Equity)^(1/Hold_Years)-1</f>
        <v/>
      </c>
      <c r="D6" s="40">
        <f>(($B6*(Rev_FY0*(1+Growth_Y1+D$5)*(1+Growth_Y2+D$5)*(1+Growth_Y3+D$5)*(1+Growth_Y4+D$5)*(1+Growth_Y5+D$5)*Margin_Y5)-Debt_AtExit)/Sponsor_Equity)^(1/Hold_Years)-1</f>
        <v/>
      </c>
      <c r="E6" s="40">
        <f>(($B6*(Rev_FY0*(1+Growth_Y1+E$5)*(1+Growth_Y2+E$5)*(1+Growth_Y3+E$5)*(1+Growth_Y4+E$5)*(1+Growth_Y5+E$5)*Margin_Y5)-Debt_AtExit)/Sponsor_Equity)^(1/Hold_Years)-1</f>
        <v/>
      </c>
      <c r="F6" s="40">
        <f>(($B6*(Rev_FY0*(1+Growth_Y1+F$5)*(1+Growth_Y2+F$5)*(1+Growth_Y3+F$5)*(1+Growth_Y4+F$5)*(1+Growth_Y5+F$5)*Margin_Y5)-Debt_AtExit)/Sponsor_Equity)^(1/Hold_Years)-1</f>
        <v/>
      </c>
      <c r="G6" s="40">
        <f>(($B6*(Rev_FY0*(1+Growth_Y1+G$5)*(1+Growth_Y2+G$5)*(1+Growth_Y3+G$5)*(1+Growth_Y4+G$5)*(1+Growth_Y5+G$5)*Margin_Y5)-Debt_AtExit)/Sponsor_Equity)^(1/Hold_Years)-1</f>
        <v/>
      </c>
    </row>
    <row r="7">
      <c r="B7" s="41">
        <f>B6+Sens_MultStep</f>
        <v/>
      </c>
      <c r="C7" s="40">
        <f>(($B7*(Rev_FY0*(1+Growth_Y1+C$5)*(1+Growth_Y2+C$5)*(1+Growth_Y3+C$5)*(1+Growth_Y4+C$5)*(1+Growth_Y5+C$5)*Margin_Y5)-Debt_AtExit)/Sponsor_Equity)^(1/Hold_Years)-1</f>
        <v/>
      </c>
      <c r="D7" s="40">
        <f>(($B7*(Rev_FY0*(1+Growth_Y1+D$5)*(1+Growth_Y2+D$5)*(1+Growth_Y3+D$5)*(1+Growth_Y4+D$5)*(1+Growth_Y5+D$5)*Margin_Y5)-Debt_AtExit)/Sponsor_Equity)^(1/Hold_Years)-1</f>
        <v/>
      </c>
      <c r="E7" s="40">
        <f>(($B7*(Rev_FY0*(1+Growth_Y1+E$5)*(1+Growth_Y2+E$5)*(1+Growth_Y3+E$5)*(1+Growth_Y4+E$5)*(1+Growth_Y5+E$5)*Margin_Y5)-Debt_AtExit)/Sponsor_Equity)^(1/Hold_Years)-1</f>
        <v/>
      </c>
      <c r="F7" s="40">
        <f>(($B7*(Rev_FY0*(1+Growth_Y1+F$5)*(1+Growth_Y2+F$5)*(1+Growth_Y3+F$5)*(1+Growth_Y4+F$5)*(1+Growth_Y5+F$5)*Margin_Y5)-Debt_AtExit)/Sponsor_Equity)^(1/Hold_Years)-1</f>
        <v/>
      </c>
      <c r="G7" s="40">
        <f>(($B7*(Rev_FY0*(1+Growth_Y1+G$5)*(1+Growth_Y2+G$5)*(1+Growth_Y3+G$5)*(1+Growth_Y4+G$5)*(1+Growth_Y5+G$5)*Margin_Y5)-Debt_AtExit)/Sponsor_Equity)^(1/Hold_Years)-1</f>
        <v/>
      </c>
    </row>
    <row r="8">
      <c r="B8" s="41">
        <f>B7+Sens_MultStep</f>
        <v/>
      </c>
      <c r="C8" s="40">
        <f>(($B8*(Rev_FY0*(1+Growth_Y1+C$5)*(1+Growth_Y2+C$5)*(1+Growth_Y3+C$5)*(1+Growth_Y4+C$5)*(1+Growth_Y5+C$5)*Margin_Y5)-Debt_AtExit)/Sponsor_Equity)^(1/Hold_Years)-1</f>
        <v/>
      </c>
      <c r="D8" s="40">
        <f>(($B8*(Rev_FY0*(1+Growth_Y1+D$5)*(1+Growth_Y2+D$5)*(1+Growth_Y3+D$5)*(1+Growth_Y4+D$5)*(1+Growth_Y5+D$5)*Margin_Y5)-Debt_AtExit)/Sponsor_Equity)^(1/Hold_Years)-1</f>
        <v/>
      </c>
      <c r="E8" s="40">
        <f>(($B8*(Rev_FY0*(1+Growth_Y1+E$5)*(1+Growth_Y2+E$5)*(1+Growth_Y3+E$5)*(1+Growth_Y4+E$5)*(1+Growth_Y5+E$5)*Margin_Y5)-Debt_AtExit)/Sponsor_Equity)^(1/Hold_Years)-1</f>
        <v/>
      </c>
      <c r="F8" s="40">
        <f>(($B8*(Rev_FY0*(1+Growth_Y1+F$5)*(1+Growth_Y2+F$5)*(1+Growth_Y3+F$5)*(1+Growth_Y4+F$5)*(1+Growth_Y5+F$5)*Margin_Y5)-Debt_AtExit)/Sponsor_Equity)^(1/Hold_Years)-1</f>
        <v/>
      </c>
      <c r="G8" s="40">
        <f>(($B8*(Rev_FY0*(1+Growth_Y1+G$5)*(1+Growth_Y2+G$5)*(1+Growth_Y3+G$5)*(1+Growth_Y4+G$5)*(1+Growth_Y5+G$5)*Margin_Y5)-Debt_AtExit)/Sponsor_Equity)^(1/Hold_Years)-1</f>
        <v/>
      </c>
    </row>
    <row r="9">
      <c r="B9" s="41">
        <f>B8+Sens_MultStep</f>
        <v/>
      </c>
      <c r="C9" s="40">
        <f>(($B9*(Rev_FY0*(1+Growth_Y1+C$5)*(1+Growth_Y2+C$5)*(1+Growth_Y3+C$5)*(1+Growth_Y4+C$5)*(1+Growth_Y5+C$5)*Margin_Y5)-Debt_AtExit)/Sponsor_Equity)^(1/Hold_Years)-1</f>
        <v/>
      </c>
      <c r="D9" s="40">
        <f>(($B9*(Rev_FY0*(1+Growth_Y1+D$5)*(1+Growth_Y2+D$5)*(1+Growth_Y3+D$5)*(1+Growth_Y4+D$5)*(1+Growth_Y5+D$5)*Margin_Y5)-Debt_AtExit)/Sponsor_Equity)^(1/Hold_Years)-1</f>
        <v/>
      </c>
      <c r="E9" s="40">
        <f>(($B9*(Rev_FY0*(1+Growth_Y1+E$5)*(1+Growth_Y2+E$5)*(1+Growth_Y3+E$5)*(1+Growth_Y4+E$5)*(1+Growth_Y5+E$5)*Margin_Y5)-Debt_AtExit)/Sponsor_Equity)^(1/Hold_Years)-1</f>
        <v/>
      </c>
      <c r="F9" s="40">
        <f>(($B9*(Rev_FY0*(1+Growth_Y1+F$5)*(1+Growth_Y2+F$5)*(1+Growth_Y3+F$5)*(1+Growth_Y4+F$5)*(1+Growth_Y5+F$5)*Margin_Y5)-Debt_AtExit)/Sponsor_Equity)^(1/Hold_Years)-1</f>
        <v/>
      </c>
      <c r="G9" s="40">
        <f>(($B9*(Rev_FY0*(1+Growth_Y1+G$5)*(1+Growth_Y2+G$5)*(1+Growth_Y3+G$5)*(1+Growth_Y4+G$5)*(1+Growth_Y5+G$5)*Margin_Y5)-Debt_AtExit)/Sponsor_Equity)^(1/Hold_Years)-1</f>
        <v/>
      </c>
    </row>
    <row r="10">
      <c r="B10" s="41">
        <f>B9+Sens_MultStep</f>
        <v/>
      </c>
      <c r="C10" s="40">
        <f>(($B10*(Rev_FY0*(1+Growth_Y1+C$5)*(1+Growth_Y2+C$5)*(1+Growth_Y3+C$5)*(1+Growth_Y4+C$5)*(1+Growth_Y5+C$5)*Margin_Y5)-Debt_AtExit)/Sponsor_Equity)^(1/Hold_Years)-1</f>
        <v/>
      </c>
      <c r="D10" s="40">
        <f>(($B10*(Rev_FY0*(1+Growth_Y1+D$5)*(1+Growth_Y2+D$5)*(1+Growth_Y3+D$5)*(1+Growth_Y4+D$5)*(1+Growth_Y5+D$5)*Margin_Y5)-Debt_AtExit)/Sponsor_Equity)^(1/Hold_Years)-1</f>
        <v/>
      </c>
      <c r="E10" s="40">
        <f>(($B10*(Rev_FY0*(1+Growth_Y1+E$5)*(1+Growth_Y2+E$5)*(1+Growth_Y3+E$5)*(1+Growth_Y4+E$5)*(1+Growth_Y5+E$5)*Margin_Y5)-Debt_AtExit)/Sponsor_Equity)^(1/Hold_Years)-1</f>
        <v/>
      </c>
      <c r="F10" s="40">
        <f>(($B10*(Rev_FY0*(1+Growth_Y1+F$5)*(1+Growth_Y2+F$5)*(1+Growth_Y3+F$5)*(1+Growth_Y4+F$5)*(1+Growth_Y5+F$5)*Margin_Y5)-Debt_AtExit)/Sponsor_Equity)^(1/Hold_Years)-1</f>
        <v/>
      </c>
      <c r="G10" s="40">
        <f>(($B10*(Rev_FY0*(1+Growth_Y1+G$5)*(1+Growth_Y2+G$5)*(1+Growth_Y3+G$5)*(1+Growth_Y4+G$5)*(1+Growth_Y5+G$5)*Margin_Y5)-Debt_AtExit)/Sponsor_Equity)^(1/Hold_Years)-1</f>
        <v/>
      </c>
    </row>
    <row r="12">
      <c r="A12" s="3" t="inlineStr">
        <is>
          <t>GRID 2 — EXIT PROCEEDS ÷ EQUITY INVESTED (×)</t>
        </is>
      </c>
      <c r="B12" s="4" t="n"/>
      <c r="C12" s="4" t="n"/>
      <c r="D12" s="4" t="n"/>
      <c r="E12" s="4" t="n"/>
      <c r="F12" s="4" t="n"/>
      <c r="G12" s="4" t="n"/>
    </row>
    <row r="13">
      <c r="B13" s="36" t="inlineStr">
        <is>
          <t>EV/EBITDA ↓   Δ growth →</t>
        </is>
      </c>
      <c r="C13" s="37">
        <f>-2*Sens_GrowthStep</f>
        <v/>
      </c>
      <c r="D13" s="38">
        <f>C13+Sens_GrowthStep</f>
        <v/>
      </c>
      <c r="E13" s="38">
        <f>D13+Sens_GrowthStep</f>
        <v/>
      </c>
      <c r="F13" s="38">
        <f>E13+Sens_GrowthStep</f>
        <v/>
      </c>
      <c r="G13" s="38">
        <f>F13+Sens_GrowthStep</f>
        <v/>
      </c>
    </row>
    <row r="14">
      <c r="B14" s="39">
        <f>Exit_Multiple-2*Sens_MultStep</f>
        <v/>
      </c>
      <c r="C14" s="42">
        <f>($B14*(Rev_FY0*(1+Growth_Y1+C$13)*(1+Growth_Y2+C$13)*(1+Growth_Y3+C$13)*(1+Growth_Y4+C$13)*(1+Growth_Y5+C$13)*Margin_Y5)-Debt_AtExit)/Sponsor_Equity</f>
        <v/>
      </c>
      <c r="D14" s="42">
        <f>($B14*(Rev_FY0*(1+Growth_Y1+D$13)*(1+Growth_Y2+D$13)*(1+Growth_Y3+D$13)*(1+Growth_Y4+D$13)*(1+Growth_Y5+D$13)*Margin_Y5)-Debt_AtExit)/Sponsor_Equity</f>
        <v/>
      </c>
      <c r="E14" s="42">
        <f>($B14*(Rev_FY0*(1+Growth_Y1+E$13)*(1+Growth_Y2+E$13)*(1+Growth_Y3+E$13)*(1+Growth_Y4+E$13)*(1+Growth_Y5+E$13)*Margin_Y5)-Debt_AtExit)/Sponsor_Equity</f>
        <v/>
      </c>
      <c r="F14" s="42">
        <f>($B14*(Rev_FY0*(1+Growth_Y1+F$13)*(1+Growth_Y2+F$13)*(1+Growth_Y3+F$13)*(1+Growth_Y4+F$13)*(1+Growth_Y5+F$13)*Margin_Y5)-Debt_AtExit)/Sponsor_Equity</f>
        <v/>
      </c>
      <c r="G14" s="42">
        <f>($B14*(Rev_FY0*(1+Growth_Y1+G$13)*(1+Growth_Y2+G$13)*(1+Growth_Y3+G$13)*(1+Growth_Y4+G$13)*(1+Growth_Y5+G$13)*Margin_Y5)-Debt_AtExit)/Sponsor_Equity</f>
        <v/>
      </c>
    </row>
    <row r="15">
      <c r="B15" s="41">
        <f>B14+Sens_MultStep</f>
        <v/>
      </c>
      <c r="C15" s="42">
        <f>($B15*(Rev_FY0*(1+Growth_Y1+C$13)*(1+Growth_Y2+C$13)*(1+Growth_Y3+C$13)*(1+Growth_Y4+C$13)*(1+Growth_Y5+C$13)*Margin_Y5)-Debt_AtExit)/Sponsor_Equity</f>
        <v/>
      </c>
      <c r="D15" s="42">
        <f>($B15*(Rev_FY0*(1+Growth_Y1+D$13)*(1+Growth_Y2+D$13)*(1+Growth_Y3+D$13)*(1+Growth_Y4+D$13)*(1+Growth_Y5+D$13)*Margin_Y5)-Debt_AtExit)/Sponsor_Equity</f>
        <v/>
      </c>
      <c r="E15" s="42">
        <f>($B15*(Rev_FY0*(1+Growth_Y1+E$13)*(1+Growth_Y2+E$13)*(1+Growth_Y3+E$13)*(1+Growth_Y4+E$13)*(1+Growth_Y5+E$13)*Margin_Y5)-Debt_AtExit)/Sponsor_Equity</f>
        <v/>
      </c>
      <c r="F15" s="42">
        <f>($B15*(Rev_FY0*(1+Growth_Y1+F$13)*(1+Growth_Y2+F$13)*(1+Growth_Y3+F$13)*(1+Growth_Y4+F$13)*(1+Growth_Y5+F$13)*Margin_Y5)-Debt_AtExit)/Sponsor_Equity</f>
        <v/>
      </c>
      <c r="G15" s="42">
        <f>($B15*(Rev_FY0*(1+Growth_Y1+G$13)*(1+Growth_Y2+G$13)*(1+Growth_Y3+G$13)*(1+Growth_Y4+G$13)*(1+Growth_Y5+G$13)*Margin_Y5)-Debt_AtExit)/Sponsor_Equity</f>
        <v/>
      </c>
    </row>
    <row r="16">
      <c r="B16" s="41">
        <f>B15+Sens_MultStep</f>
        <v/>
      </c>
      <c r="C16" s="42">
        <f>($B16*(Rev_FY0*(1+Growth_Y1+C$13)*(1+Growth_Y2+C$13)*(1+Growth_Y3+C$13)*(1+Growth_Y4+C$13)*(1+Growth_Y5+C$13)*Margin_Y5)-Debt_AtExit)/Sponsor_Equity</f>
        <v/>
      </c>
      <c r="D16" s="42">
        <f>($B16*(Rev_FY0*(1+Growth_Y1+D$13)*(1+Growth_Y2+D$13)*(1+Growth_Y3+D$13)*(1+Growth_Y4+D$13)*(1+Growth_Y5+D$13)*Margin_Y5)-Debt_AtExit)/Sponsor_Equity</f>
        <v/>
      </c>
      <c r="E16" s="42">
        <f>($B16*(Rev_FY0*(1+Growth_Y1+E$13)*(1+Growth_Y2+E$13)*(1+Growth_Y3+E$13)*(1+Growth_Y4+E$13)*(1+Growth_Y5+E$13)*Margin_Y5)-Debt_AtExit)/Sponsor_Equity</f>
        <v/>
      </c>
      <c r="F16" s="42">
        <f>($B16*(Rev_FY0*(1+Growth_Y1+F$13)*(1+Growth_Y2+F$13)*(1+Growth_Y3+F$13)*(1+Growth_Y4+F$13)*(1+Growth_Y5+F$13)*Margin_Y5)-Debt_AtExit)/Sponsor_Equity</f>
        <v/>
      </c>
      <c r="G16" s="42">
        <f>($B16*(Rev_FY0*(1+Growth_Y1+G$13)*(1+Growth_Y2+G$13)*(1+Growth_Y3+G$13)*(1+Growth_Y4+G$13)*(1+Growth_Y5+G$13)*Margin_Y5)-Debt_AtExit)/Sponsor_Equity</f>
        <v/>
      </c>
    </row>
    <row r="17">
      <c r="B17" s="41">
        <f>B16+Sens_MultStep</f>
        <v/>
      </c>
      <c r="C17" s="42">
        <f>($B17*(Rev_FY0*(1+Growth_Y1+C$13)*(1+Growth_Y2+C$13)*(1+Growth_Y3+C$13)*(1+Growth_Y4+C$13)*(1+Growth_Y5+C$13)*Margin_Y5)-Debt_AtExit)/Sponsor_Equity</f>
        <v/>
      </c>
      <c r="D17" s="42">
        <f>($B17*(Rev_FY0*(1+Growth_Y1+D$13)*(1+Growth_Y2+D$13)*(1+Growth_Y3+D$13)*(1+Growth_Y4+D$13)*(1+Growth_Y5+D$13)*Margin_Y5)-Debt_AtExit)/Sponsor_Equity</f>
        <v/>
      </c>
      <c r="E17" s="42">
        <f>($B17*(Rev_FY0*(1+Growth_Y1+E$13)*(1+Growth_Y2+E$13)*(1+Growth_Y3+E$13)*(1+Growth_Y4+E$13)*(1+Growth_Y5+E$13)*Margin_Y5)-Debt_AtExit)/Sponsor_Equity</f>
        <v/>
      </c>
      <c r="F17" s="42">
        <f>($B17*(Rev_FY0*(1+Growth_Y1+F$13)*(1+Growth_Y2+F$13)*(1+Growth_Y3+F$13)*(1+Growth_Y4+F$13)*(1+Growth_Y5+F$13)*Margin_Y5)-Debt_AtExit)/Sponsor_Equity</f>
        <v/>
      </c>
      <c r="G17" s="42">
        <f>($B17*(Rev_FY0*(1+Growth_Y1+G$13)*(1+Growth_Y2+G$13)*(1+Growth_Y3+G$13)*(1+Growth_Y4+G$13)*(1+Growth_Y5+G$13)*Margin_Y5)-Debt_AtExit)/Sponsor_Equity</f>
        <v/>
      </c>
    </row>
    <row r="18">
      <c r="B18" s="41">
        <f>B17+Sens_MultStep</f>
        <v/>
      </c>
      <c r="C18" s="42">
        <f>($B18*(Rev_FY0*(1+Growth_Y1+C$13)*(1+Growth_Y2+C$13)*(1+Growth_Y3+C$13)*(1+Growth_Y4+C$13)*(1+Growth_Y5+C$13)*Margin_Y5)-Debt_AtExit)/Sponsor_Equity</f>
        <v/>
      </c>
      <c r="D18" s="42">
        <f>($B18*(Rev_FY0*(1+Growth_Y1+D$13)*(1+Growth_Y2+D$13)*(1+Growth_Y3+D$13)*(1+Growth_Y4+D$13)*(1+Growth_Y5+D$13)*Margin_Y5)-Debt_AtExit)/Sponsor_Equity</f>
        <v/>
      </c>
      <c r="E18" s="42">
        <f>($B18*(Rev_FY0*(1+Growth_Y1+E$13)*(1+Growth_Y2+E$13)*(1+Growth_Y3+E$13)*(1+Growth_Y4+E$13)*(1+Growth_Y5+E$13)*Margin_Y5)-Debt_AtExit)/Sponsor_Equity</f>
        <v/>
      </c>
      <c r="F18" s="42">
        <f>($B18*(Rev_FY0*(1+Growth_Y1+F$13)*(1+Growth_Y2+F$13)*(1+Growth_Y3+F$13)*(1+Growth_Y4+F$13)*(1+Growth_Y5+F$13)*Margin_Y5)-Debt_AtExit)/Sponsor_Equity</f>
        <v/>
      </c>
      <c r="G18" s="42">
        <f>($B18*(Rev_FY0*(1+Growth_Y1+G$13)*(1+Growth_Y2+G$13)*(1+Growth_Y3+G$13)*(1+Growth_Y4+G$13)*(1+Growth_Y5+G$13)*Margin_Y5)-Debt_AtExit)/Sponsor_Equity</f>
        <v/>
      </c>
    </row>
    <row r="20">
      <c r="A20" s="5" t="inlineStr">
        <is>
          <t>Check: grid 1 center − base annual return (must be 0)</t>
        </is>
      </c>
      <c r="B20" s="28">
        <f>ABS(E8-Returns!$B$17)</f>
        <v/>
      </c>
    </row>
    <row r="21">
      <c r="A21" s="5" t="inlineStr">
        <is>
          <t>Check: grid 2 center − base capital multiple (must be 0)</t>
        </is>
      </c>
      <c r="B21" s="28">
        <f>ABS(E16-Returns!$B$18)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2026-06-12T15:26:51Z</dcterms:created>
  <dcterms:modified xmlns:dcterms="http://purl.org/dc/terms/" xmlns:xsi="http://www.w3.org/2001/XMLSchema-instance" xsi:type="dcterms:W3CDTF">2026-06-12T15:26:51Z</dcterms:modified>
</cp:coreProperties>
</file>