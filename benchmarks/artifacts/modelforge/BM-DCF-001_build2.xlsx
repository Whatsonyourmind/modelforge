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Flag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omparableBetas" sheetId="5" state="visible" r:id="rId5"/>
    <sheet xmlns:r="http://schemas.openxmlformats.org/officeDocument/2006/relationships" name="WACCBuild" sheetId="6" state="visible" r:id="rId6"/>
    <sheet xmlns:r="http://schemas.openxmlformats.org/officeDocument/2006/relationships" name="FCFForecast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QC" sheetId="9" state="visible" r:id="rId9"/>
    <sheet xmlns:r="http://schemas.openxmlformats.org/officeDocument/2006/relationships" name="MOAT" sheetId="10" state="visible" r:id="rId10"/>
    <sheet xmlns:r="http://schemas.openxmlformats.org/officeDocument/2006/relationships" name="ComplianceCheck" sheetId="11" state="visible" r:id="rId11"/>
    <sheet xmlns:r="http://schemas.openxmlformats.org/officeDocument/2006/relationships" name="SensitivityAnalysis" sheetId="12" state="visible" r:id="rId12"/>
    <sheet xmlns:r="http://schemas.openxmlformats.org/officeDocument/2006/relationships" name="MonteCarlo" sheetId="13" state="visible" r:id="rId13"/>
    <sheet xmlns:r="http://schemas.openxmlformats.org/officeDocument/2006/relationships" name="Reproducibility" sheetId="14" state="visible" r:id="rId14"/>
  </sheets>
  <definedNames>
    <definedName name="scenario_index">'Cover'!$C$17</definedName>
    <definedName name="revenue_growth_y1">'Assumptions'!$I$6</definedName>
    <definedName name="revenue_growth_y2">'Assumptions'!$I$7</definedName>
    <definedName name="revenue_growth_y3">'Assumptions'!$I$8</definedName>
    <definedName name="revenue_growth_y4">'Assumptions'!$I$9</definedName>
    <definedName name="revenue_growth_y5">'Assumptions'!$I$10</definedName>
    <definedName name="ebitda_margin_y1">'Assumptions'!$I$11</definedName>
    <definedName name="ebitda_margin_y2">'Assumptions'!$I$12</definedName>
    <definedName name="ebitda_margin_y3">'Assumptions'!$I$13</definedName>
    <definedName name="ebitda_margin_y4">'Assumptions'!$I$14</definedName>
    <definedName name="ebitda_margin_y5">'Assumptions'!$I$15</definedName>
    <definedName name="da_pct_revenue">'Assumptions'!$I$16</definedName>
    <definedName name="capex_pct_revenue">'Assumptions'!$I$17</definedName>
    <definedName name="nwc_pct_revenue_delta">'Assumptions'!$I$18</definedName>
    <definedName name="risk_free_rate">'Assumptions'!$I$19</definedName>
    <definedName name="equity_risk_premium">'Assumptions'!$I$20</definedName>
    <definedName name="beta_levered">'Assumptions'!$I$21</definedName>
    <definedName name="pretax_cost_of_debt">'Assumptions'!$I$22</definedName>
    <definedName name="target_debt_weight">'Assumptions'!$I$23</definedName>
    <definedName name="effective_tax_rate">'Assumptions'!$I$24</definedName>
    <definedName name="terminal_growth_pct">'Assumptions'!$I$25</definedName>
    <definedName name="exit_ev_ebitda_x">'Assumptions'!$I$26</definedName>
    <definedName name="net_debt_assum">'Assumptions'!$I$27</definedName>
    <definedName name="shares_outstanding_assum">'Assumptions'!$I$28</definedName>
    <definedName name="current_price_assum">'Assumptions'!$I$29</definedName>
    <definedName name="wacc_rate">'WACCBuild'!$D$14</definedName>
    <definedName name="terminal_method_choice">'Valuation'!$D$28</definedName>
    <definedName name="aif_leverage_cap_open">'ComplianceCheck'!$D$7</definedName>
    <definedName name="aif_leverage_cap_closed">'ComplianceCheck'!$D$8</definedName>
    <definedName name="aif_actual_leverage">'ComplianceCheck'!$D$10</definedName>
    <definedName name="aif_largest_single_borrower_pct_nav">'ComplianceCheck'!$D$13</definedName>
    <definedName name="aif_single_borrower_cap">'ComplianceCheck'!$D$14</definedName>
    <definedName name="tax_ires_rate">'ComplianceCheck'!$D$51</definedName>
    <definedName name="tax_irap_rate">'ComplianceCheck'!$D$52</definedName>
    <definedName name="primary_output">'Valuation'!$D$23</definedName>
    <definedName name="mc_vol">'MonteCarlo'!$B$9</definedName>
    <definedName name="mf_spec_sha256">'Reproducibility'!$B$5</definedName>
    <definedName name="mf_version">'Reproducibility'!$B$6</definedName>
    <definedName name="mf_python_version">'Reproducibility'!$B$7</definedName>
    <definedName name="mf_build_timestamp">'Reproducibility'!$B$8</definedName>
    <definedName name="mf_spec_source">'Reproducibility'!$B$9</definedName>
    <definedName name="_xlnm.Print_Titles" localSheetId="0">'RedFlags'!$7:$7</definedName>
    <definedName name="_xlnm.Print_Titles" localSheetId="1">'Cover'!$1:$2</definedName>
    <definedName name="_xlnm.Print_Titles" localSheetId="2">'Sources'!$4:$5</definedName>
    <definedName name="_xlnm.Print_Titles" localSheetId="3">'Assumptions'!$5:$5</definedName>
    <definedName name="_xlnm.Print_Titles" localSheetId="5">'WACCBuild'!$1:$4</definedName>
    <definedName name="_xlnm.Print_Titles" localSheetId="6">'FCFForecast'!$5:$5</definedName>
    <definedName name="_xlnm.Print_Titles" localSheetId="7">'Valuation'!$1:$4</definedName>
    <definedName name="_xlnm.Print_Titles" localSheetId="8">'QC'!$1:$3</definedName>
    <definedName name="_xlnm.Print_Titles" localSheetId="10">'ComplianceCheck'!$1:$4</definedName>
    <definedName name="_xlnm.Print_Titles" localSheetId="11">'SensitivityAnalysis'!$9:$9,'SensitivityAnalysis'!$A:$C</definedName>
    <definedName name="_xlnm.Print_Titles" localSheetId="12">'MonteCarlo'!$17:$17</definedName>
    <definedName name="_xlnm.Print_Titles" localSheetId="13">'Reproducibility'!$1:$3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8">
    <numFmt numFmtId="164" formatCode="dd-mmm-yyyy"/>
    <numFmt numFmtId="165" formatCode="#,##0;[Red](#,##0);-"/>
    <numFmt numFmtId="166" formatCode="0.0%;[Red](0.0%);0.0%"/>
    <numFmt numFmtId="167" formatCode="0.00&quot;x&quot;;[Red](0.00&quot;x&quot;);&quot;-&quot;"/>
    <numFmt numFmtId="168" formatCode="_(* #,##0.0_);[Red]_(* (#,##0.0);_(* &quot;-&quot;??_);_(@_)"/>
    <numFmt numFmtId="169" formatCode="_(* #,##0_);[Red]_(* (#,##0);_(* &quot;-&quot;??_);_(@_)"/>
    <numFmt numFmtId="170" formatCode="0.00%;[Red](0.00%);0.00%"/>
    <numFmt numFmtId="171" formatCode="_(* #,##0.00_);[Red]_(* (#,##0.00);_(* &quot;-&quot;??_);_(@_)"/>
  </numFmts>
  <fonts count="2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b val="1"/>
      <color rgb="00008000"/>
      <sz val="10"/>
    </font>
    <font>
      <name val="Calibri"/>
      <i val="1"/>
      <color rgb="00555555"/>
      <sz val="10"/>
    </font>
    <font>
      <name val="Calibri"/>
      <b val="1"/>
      <color rgb="00006100"/>
      <sz val="10"/>
    </font>
    <font>
      <name val="Calibri"/>
      <b val="1"/>
      <color rgb="007F6000"/>
      <sz val="10"/>
    </font>
    <font>
      <name val="Calibri"/>
      <b val="1"/>
      <color rgb="00555555"/>
      <sz val="10"/>
    </font>
    <font>
      <name val="Calibri"/>
      <i val="1"/>
      <color rgb="00888888"/>
      <sz val="9"/>
    </font>
    <font>
      <name val="Calibri"/>
      <b val="1"/>
      <i val="1"/>
      <color rgb="00006100"/>
      <sz val="10"/>
    </font>
    <font>
      <name val="Calibri"/>
      <b val="1"/>
      <i val="1"/>
      <color rgb="009C5700"/>
      <sz val="10"/>
    </font>
    <font>
      <name val="Calibri"/>
      <i val="1"/>
      <color rgb="00595959"/>
      <sz val="10"/>
    </font>
    <font>
      <name val="Consolas"/>
      <sz val="10"/>
    </font>
    <font>
      <name val="Calibri"/>
      <color rgb="00006100"/>
      <sz val="10"/>
    </font>
    <font>
      <name val="Calibri"/>
      <b val="1"/>
      <strike val="0"/>
      <color rgb="00000000"/>
      <sz val="10"/>
    </font>
    <font>
      <name val="Calibri"/>
      <strike val="0"/>
      <color rgb="00000000"/>
      <sz val="11"/>
    </font>
    <font>
      <b val="1"/>
      <color rgb="00000000"/>
      <sz val="14"/>
    </font>
    <font>
      <sz val="10"/>
    </font>
    <font>
      <b val="1"/>
      <sz val="10"/>
    </font>
    <font>
      <b val="1"/>
      <color rgb="0000B050"/>
    </font>
    <font>
      <b val="1"/>
      <sz val="14"/>
    </font>
    <font>
      <name val="Calibri"/>
      <color rgb="00006100"/>
      <sz val="11"/>
    </font>
    <font>
      <name val="Calibri"/>
      <strike val="0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bottom style="thin">
        <color rgb="00808080"/>
      </bottom>
    </border>
    <border>
      <top style="medium">
        <color rgb="00000000"/>
      </top>
      <bottom style="medium">
        <color rgb="00000000"/>
      </bottom>
    </border>
    <border>
      <top style="thin">
        <color rgb="00808080"/>
      </top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0" pivotButton="0" quotePrefix="0" xfId="0"/>
    <xf numFmtId="0" fontId="0" fillId="2" borderId="0" pivotButton="0" quotePrefix="0" xfId="0"/>
    <xf numFmtId="165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1"/>
    </xf>
    <xf numFmtId="168" fontId="5" fillId="0" borderId="3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0" fontId="16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4" borderId="0" pivotButton="0" quotePrefix="0" xfId="0"/>
    <xf numFmtId="171" fontId="17" fillId="4" borderId="0" applyAlignment="1" pivotButton="0" quotePrefix="0" xfId="0">
      <alignment horizontal="right" vertical="center"/>
    </xf>
    <xf numFmtId="165" fontId="17" fillId="4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49" fontId="20" fillId="0" borderId="0" applyAlignment="1" pivotButton="0" quotePrefix="0" xfId="0">
      <alignment horizontal="center" vertical="center"/>
    </xf>
    <xf numFmtId="166" fontId="20" fillId="0" borderId="0" applyAlignment="1" pivotButton="0" quotePrefix="0" xfId="0">
      <alignment horizontal="right" vertical="center"/>
    </xf>
    <xf numFmtId="167" fontId="20" fillId="0" borderId="0" applyAlignment="1" pivotButton="0" quotePrefix="0" xfId="0">
      <alignment horizontal="right" vertical="center"/>
    </xf>
    <xf numFmtId="168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right" vertical="center"/>
    </xf>
    <xf numFmtId="169" fontId="20" fillId="0" borderId="0" applyAlignment="1" pivotButton="0" quotePrefix="0" xfId="0">
      <alignment horizontal="right" vertical="center"/>
    </xf>
    <xf numFmtId="170" fontId="20" fillId="0" borderId="0" applyAlignment="1" pivotButton="0" quotePrefix="0" xfId="0">
      <alignment horizontal="right" vertical="center"/>
    </xf>
    <xf numFmtId="49" fontId="7" fillId="3" borderId="0" applyAlignment="1" pivotButton="0" quotePrefix="0" xfId="0">
      <alignment horizontal="center" vertical="center"/>
    </xf>
    <xf numFmtId="168" fontId="20" fillId="0" borderId="3" applyAlignment="1" pivotButton="0" quotePrefix="0" xfId="0">
      <alignment horizontal="right" vertical="center"/>
    </xf>
    <xf numFmtId="168" fontId="11" fillId="0" borderId="0" applyAlignment="1" pivotButton="0" quotePrefix="0" xfId="0">
      <alignment horizontal="right" vertical="center"/>
    </xf>
    <xf numFmtId="168" fontId="19" fillId="0" borderId="0" applyAlignment="1" pivotButton="0" quotePrefix="0" xfId="0">
      <alignment horizontal="right" vertical="center"/>
    </xf>
    <xf numFmtId="167" fontId="19" fillId="0" borderId="0" applyAlignment="1" pivotButton="0" quotePrefix="0" xfId="0">
      <alignment horizontal="right" vertical="center"/>
    </xf>
    <xf numFmtId="168" fontId="21" fillId="0" borderId="0" pivotButton="0" quotePrefix="0" xfId="0"/>
    <xf numFmtId="171" fontId="21" fillId="0" borderId="0" pivotButton="0" quotePrefix="0" xfId="0"/>
    <xf numFmtId="49" fontId="20" fillId="0" borderId="0" applyAlignment="1" pivotButton="0" quotePrefix="0" xfId="0">
      <alignment horizontal="right" vertical="center"/>
    </xf>
    <xf numFmtId="168" fontId="20" fillId="0" borderId="0" pivotButton="0" quotePrefix="0" xfId="0"/>
    <xf numFmtId="171" fontId="6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0" borderId="4" applyAlignment="1" pivotButton="0" quotePrefix="0" xfId="0">
      <alignment horizontal="left" vertical="center"/>
    </xf>
    <xf numFmtId="0" fontId="25" fillId="0" borderId="0" pivotButton="0" quotePrefix="0" xfId="0"/>
    <xf numFmtId="0" fontId="26" fillId="0" borderId="0" pivotButton="0" quotePrefix="0" xfId="0"/>
    <xf numFmtId="0" fontId="24" fillId="5" borderId="0" pivotButton="0" quotePrefix="0" xfId="0"/>
    <xf numFmtId="0" fontId="24" fillId="0" borderId="4" pivotButton="0" quotePrefix="0" xfId="0"/>
    <xf numFmtId="0" fontId="23" fillId="5" borderId="4" applyAlignment="1" pivotButton="0" quotePrefix="0" xfId="0">
      <alignment vertical="top" wrapText="1"/>
    </xf>
    <xf numFmtId="0" fontId="23" fillId="0" borderId="4" applyAlignment="1" pivotButton="0" quotePrefix="0" xfId="0">
      <alignment vertical="top" wrapText="1"/>
    </xf>
    <xf numFmtId="171" fontId="27" fillId="0" borderId="0" pivotButton="0" quotePrefix="0" xfId="0"/>
    <xf numFmtId="165" fontId="28" fillId="0" borderId="4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Calibri"/>
        <b val="1"/>
        <color rgb="00FFFFFF"/>
        <sz val="11"/>
      </font>
      <fill>
        <patternFill patternType="solid">
          <fgColor rgb="009C0006"/>
        </patternFill>
      </fill>
    </dxf>
    <dxf>
      <font>
        <name val="Calibri"/>
        <b val="1"/>
        <color rgb="00FFFFFF"/>
        <sz val="11"/>
      </font>
      <fill>
        <patternFill patternType="solid">
          <fgColor rgb="001F3864"/>
        </patternFill>
      </fill>
    </dxf>
    <dxf>
      <font>
        <name val="Calibri"/>
        <b val="1"/>
        <color rgb="00FFFFFF"/>
        <sz val="11"/>
      </font>
      <fill>
        <patternFill patternType="solid">
          <fgColor rgb="000061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— Implied EV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'SensitivityAnalysis'!J9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'SensitivityAnalysis'!$B$10:$B$16</f>
            </numRef>
          </cat>
          <val>
            <numRef>
              <f>'SensitivityAnalysis'!$J$10:$J$16</f>
            </numRef>
          </val>
        </ser>
        <ser>
          <idx val="1"/>
          <order val="1"/>
          <tx>
            <strRef>
              <f>'SensitivityAnalysis'!K9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'SensitivityAnalysis'!$B$10:$B$16</f>
            </numRef>
          </cat>
          <val>
            <numRef>
              <f>'SensitivityAnalysis'!$K$10:$K$16</f>
            </numRef>
          </val>
        </ser>
        <dLbls>
          <showVal val="0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output (% points)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— Δ Implied EV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'MonteCarlo'!C30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'MonteCarlo'!$A$31:$A$60</f>
            </numRef>
          </cat>
          <val>
            <numRef>
              <f>'MonteCarlo'!$C$31:$C$60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output (fractional)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ModelForge</author>
  </authors>
  <commentList>
    <comment ref="G6" authorId="0" shapeId="0">
      <text>
        <t>A-101
Source: S-001
(see Sources!A6)
Confidence: H
Rationale: Frozen benchmark fade path per brief BM-DCF-001.</t>
      </text>
    </comment>
    <comment ref="G7" authorId="0" shapeId="0">
      <text>
        <t>A-102
Source: S-001
(see Sources!A6)
Confidence: H
Rationale: Frozen benchmark fade path per brief BM-DCF-001.</t>
      </text>
    </comment>
    <comment ref="G8" authorId="0" shapeId="0">
      <text>
        <t>A-103
Source: S-001
(see Sources!A6)
Confidence: H
Rationale: Frozen benchmark fade path per brief BM-DCF-001.</t>
      </text>
    </comment>
    <comment ref="G9" authorId="0" shapeId="0">
      <text>
        <t>A-104
Source: S-001
(see Sources!A6)
Confidence: H
Rationale: Frozen benchmark fade path per brief BM-DCF-001.</t>
      </text>
    </comment>
    <comment ref="G10" authorId="0" shapeId="0">
      <text>
        <t>A-105
Source: S-001
(see Sources!A6)
Confidence: H
Rationale: Frozen benchmark fade path per brief BM-DCF-001.</t>
      </text>
    </comment>
    <comment ref="G11" authorId="0" shapeId="0">
      <text>
        <t>A-201
Source: S-001
(see Sources!A6)
Confidence: H
Rationale: Frozen benchmark input per brief BM-DCF-001.</t>
      </text>
    </comment>
    <comment ref="G12" authorId="0" shapeId="0">
      <text>
        <t>A-202
Source: S-001
(see Sources!A6)
Confidence: H
Rationale: Frozen benchmark input per brief BM-DCF-001.</t>
      </text>
    </comment>
    <comment ref="G13" authorId="0" shapeId="0">
      <text>
        <t>A-203
Source: S-001
(see Sources!A6)
Confidence: H
Rationale: Frozen benchmark input per brief BM-DCF-001.</t>
      </text>
    </comment>
    <comment ref="G14" authorId="0" shapeId="0">
      <text>
        <t>A-204
Source: S-001
(see Sources!A6)
Confidence: H
Rationale: Frozen benchmark input per brief BM-DCF-001.</t>
      </text>
    </comment>
    <comment ref="G15" authorId="0" shapeId="0">
      <text>
        <t>A-205
Source: S-001
(see Sources!A6)
Confidence: H
Rationale: Frozen benchmark input per brief BM-DCF-001.</t>
      </text>
    </comment>
    <comment ref="G16" authorId="0" shapeId="0">
      <text>
        <t>A-301
Source: S-001
(see Sources!A6)
Confidence: H
Rationale: Frozen benchmark input per brief BM-DCF-001 (EBIT margin = 18% - 6% = 12%).</t>
      </text>
    </comment>
    <comment ref="G17" authorId="0" shapeId="0">
      <text>
        <t>A-302
Source: S-001
(see Sources!A6)
Confidence: H
Rationale: Frozen benchmark input per brief BM-DCF-001.</t>
      </text>
    </comment>
    <comment ref="G18" authorId="0" shapeId="0">
      <text>
        <t>A-303
Source: S-001
(see Sources!A6)
Confidence: H
Rationale: Frozen benchmark input per brief BM-DCF-001.</t>
      </text>
    </comment>
    <comment ref="G19" authorId="0" shapeId="0">
      <text>
        <t>A-001
Source: S-001
(see Sources!A6)
Confidence: H
Rationale: Frozen benchmark input per brief BM-DCF-001.</t>
      </text>
    </comment>
    <comment ref="G20" authorId="0" shapeId="0">
      <text>
        <t>A-002
Source: S-001
(see Sources!A6)
Confidence: H
Rationale: Frozen benchmark input per brief BM-DCF-001.</t>
      </text>
    </comment>
    <comment ref="G21" authorId="0" shapeId="0">
      <text>
        <t>A-003
Source: S-001
(see Sources!A6)
Confidence: H
Rationale: Frozen benchmark input per brief BM-DCF-001.</t>
      </text>
    </comment>
    <comment ref="G22" authorId="0" shapeId="0">
      <text>
        <t>A-004
Source: S-001
(see Sources!A6)
Confidence: H
Rationale: Frozen benchmark input per brief BM-DCF-001.</t>
      </text>
    </comment>
    <comment ref="G23" authorId="0" shapeId="0">
      <text>
        <t>A-005
Source: S-001
(see Sources!A6)
Confidence: H
Rationale: Frozen benchmark input per brief BM-DCF-001.</t>
      </text>
    </comment>
    <comment ref="G24" authorId="0" shapeId="0">
      <text>
        <t>A-006
Source: S-001
(see Sources!A6)
Confidence: H
Rationale: Frozen benchmark input per brief BM-DCF-001.</t>
      </text>
    </comment>
    <comment ref="G25" authorId="0" shapeId="0">
      <text>
        <t>A-401
Source: S-001
(see Sources!A6)
Confidence: H
Rationale: Frozen benchmark input per brief BM-DCF-001 (g = 2.0% &lt; rf = 4.25%).</t>
      </text>
    </comment>
    <comment ref="G26" authorId="0" shapeId="0">
      <text>
        <t>A-402
Source: S-001
(see Sources!A6)
Confidence: M
Rationale: Displayed for reconciliation only; the brief pins Gordon as the terminal method.</t>
      </text>
    </comment>
    <comment ref="G27" authorId="0" shapeId="0">
      <text>
        <t>A-501
Source: S-001
(see Sources!A6)
Confidence: H
Rationale: Frozen benchmark input per brief BM-DCF-001.</t>
      </text>
    </comment>
    <comment ref="G28" authorId="0" shapeId="0">
      <text>
        <t>A-502
Source: S-001
(see Sources!A6)
Confidence: H
Rationale: Frozen benchmark input per brief BM-DCF-001.</t>
      </text>
    </comment>
    <comment ref="G29" authorId="0" shapeId="0">
      <text>
        <t>A-503
Source: S-001
(see Sources!A6)
Confidence: H
Rationale: Frozen benchmark input per brief BM-DCF-001.</t>
      </text>
    </comment>
  </commentList>
</comments>
</file>

<file path=xl/comments/comment2.xml><?xml version="1.0" encoding="utf-8"?>
<comments xmlns="http://schemas.openxmlformats.org/spreadsheetml/2006/main">
  <authors>
    <author>ModelForge</author>
  </authors>
  <commentList>
    <comment ref="D14" authorId="0" shapeId="0">
      <text>
        <t>WACC = Ke × (E/(D+E)) + Kd × (1 − t) × (D/(D+E)).
Damodaran 2026 Italy ERP 6.7% used per country-risk table; risk-free cites 10Y BTP yield.</t>
      </text>
    </comment>
  </commentList>
</comments>
</file>

<file path=xl/comments/comment3.xml><?xml version="1.0" encoding="utf-8"?>
<comments xmlns="http://schemas.openxmlformats.org/spreadsheetml/2006/main">
  <authors>
    <author>ModelForge</author>
  </authors>
  <commentList>
    <comment ref="D7" authorId="0" shapeId="0">
      <text>
        <t>Historical revenue (FY1) — from spec</t>
      </text>
    </comment>
    <comment ref="E7" authorId="0" shapeId="0">
      <text>
        <t>Historical revenue (FY2) — from spec</t>
      </text>
    </comment>
    <comment ref="F7" authorId="0" shapeId="0">
      <text>
        <t>Historical revenue (FY3) — from spec</t>
      </text>
    </comment>
    <comment ref="D8" authorId="0" shapeId="0">
      <text>
        <t>Historical EBITDA (from spec)</t>
      </text>
    </comment>
    <comment ref="E8" authorId="0" shapeId="0">
      <text>
        <t>Historical EBITDA (from spec)</t>
      </text>
    </comment>
    <comment ref="F8" authorId="0" shapeId="0">
      <text>
        <t>Historical EBITDA (from spec)</t>
      </text>
    </comment>
  </commentList>
</comments>
</file>

<file path=xl/comments/comment4.xml><?xml version="1.0" encoding="utf-8"?>
<comments xmlns="http://schemas.openxmlformats.org/spreadsheetml/2006/main">
  <authors>
    <author>ModelForge</author>
  </authors>
  <commentList>
    <comment ref="D5" authorId="0" shapeId="0">
      <text>
        <t>Explicit-period discounting uses end-year convention (mid_year_convention=False). TV discounted by 5.0000 years.</t>
      </text>
    </comment>
    <comment ref="D8" authorId="0" shapeId="0">
      <text>
        <t>Normalized terminal FCF = NOPAT + ΔNWC_norm (capex = D&amp;A steady state, so D&amp;A addback and capex cancel). Gordon formula uses this normalized cash flow.</t>
      </text>
    </comment>
  </commentList>
</comments>
</file>

<file path=xl/comments/comment5.xml><?xml version="1.0" encoding="utf-8"?>
<comments xmlns="http://schemas.openxmlformats.org/spreadsheetml/2006/main">
  <authors>
    <author>ModelForge</author>
  </authors>
  <commentList>
    <comment ref="D6" authorId="0" shapeId="0">
      <text>
        <t>AIF type (open / closed). Selects which AIFMD II leverage cap applies. Override via spec.compliance.aif_type. Default: closed.</t>
      </text>
    </comment>
    <comment ref="D7" authorId="0" shapeId="0">
      <text>
        <t>AIFMD II Article 15a: open-ended AIF max 175% leverage (commitment method). Override via spec.compliance.aif_leverage_cap_open_pct.</t>
      </text>
    </comment>
    <comment ref="D8" authorId="0" shapeId="0">
      <text>
        <t>AIFMD II Article 15a: closed-ended AIF max 300% leverage (commitment method). Override via spec.compliance.aif_leverage_cap_closed_pct. Source: BCLP April 2024 transposition note.</t>
      </text>
    </comment>
    <comment ref="D9" authorId="0" shapeId="0">
      <text>
        <t>Applied cap = open-ended limit if AIF type is open, else closed-ended limit. Both bounds are the named inputs above.</t>
      </text>
    </comment>
    <comment ref="D10" authorId="0" shapeId="0">
      <text>
        <t>Actual portfolio leverage (commitment method) tested against the applied AIFMD II cap. Override via spec.compliance.actual_leverage.</t>
      </text>
    </comment>
    <comment ref="D13" authorId="0" shapeId="0">
      <text>
        <t>Largest single-borrower exposure as % of AIF NAV, tested against the concentration cap. Override via spec.compliance.largest_single_borrower_pct_nav.</t>
      </text>
    </comment>
    <comment ref="D14" authorId="0" shapeId="0">
      <text>
        <t>AIFMD II Article 15a(4): loans to a single borrower capped at 20% of AIF NAV. Override via spec.compliance.largest_borrower_cap_pct. Source: Clifford Chance guidance.</t>
      </text>
    </comment>
    <comment ref="D15" authorId="0" shapeId="0">
      <text>
        <t>AIFMD II Article 15a(4): loans to single borrower capped at 20% of AIF NAV. Source: Clifford Chance guidance.</t>
      </text>
    </comment>
    <comment ref="D19" authorId="0" shapeId="0">
      <text>
        <t>AIFMD II: AIF deemed loan-originating if &gt;50% NAV in originated loans. Must be closed-ended if origination &gt;60% NAV. Source: Linklaters / Ropes &amp; Gray.</t>
      </text>
    </comment>
    <comment ref="A42" authorId="0" shapeId="0">
      <text>
        <t>Minimum prudential backstop per Regulation (EU) 2019/630 applied to credit facilities originated from 26-Apr-2019.</t>
      </text>
    </comment>
    <comment ref="D51" authorId="0" shapeId="0">
      <text>
        <t>IRES — Italian corporate income tax. Override via spec.compliance.tax.ires_rate_pct. Default 24% (Italy 2026).</t>
      </text>
    </comment>
    <comment ref="D52" authorId="0" shapeId="0">
      <text>
        <t>IRAP — regional production tax (national base + regional add-on). Override via spec.compliance.tax.irap_rate_pct. Default 3.9% (Italy non-financial corporate base).</t>
      </text>
    </comment>
    <comment ref="D53" authorId="0" shapeId="0">
      <text>
        <t>Caveat: IRES and IRAP have DIFFERENT tax bases. IRES includes financial items; IRAP excludes them. The 'combined' rate is an APPROXIMATION for non-financial corporates. Banks / insurers pay IRAP at 4.65% + 2pp (Italian 2026 Budget Law). Source: PwC Italy Corporate Tax Summaries.</t>
      </text>
    </comment>
    <comment ref="A64" authorId="0" shapeId="0">
      <text>
        <t>Basel III/IV securitization framework per BCBS d374 (December 2014) implemented in EU via CRR Art. 254 / Reg. EU 2017/2401 + 2402 (STS). Hierarchy: SEC-IRBA &gt; SEC-ERBA &gt; SEC-SA. Output floor 72.5% of SA applicable from 2028. Sources: BIS BCBS d374; EBA technical standards; Banca d'Italia Circolare 285 Title III.</t>
      </text>
    </comment>
  </commentList>
</comments>
</file>

<file path=xl/comments/comment6.xml><?xml version="1.0" encoding="utf-8"?>
<comments xmlns="http://schemas.openxmlformats.org/spreadsheetml/2006/main">
  <authors>
    <author>ModelForge</author>
  </authors>
  <commentList>
    <comment ref="E10" authorId="0" shapeId="0">
      <text>
        <t>Low-arm fractional shock on 'revenue_growth_y1'.</t>
      </text>
    </comment>
    <comment ref="F10" authorId="0" shapeId="0">
      <text>
        <t>High-arm fractional shock on 'revenue_growth_y1'.</t>
      </text>
    </comment>
    <comment ref="G10" authorId="0" shapeId="0">
      <text>
        <t>Elasticity of Implied EV w.r.t. 'revenue_growth_y1'. Kept as a reference even when method=shadow (gives a quick cross-check against the shadow-computed delta).</t>
      </text>
    </comment>
    <comment ref="J10" authorId="0" shapeId="0">
      <text>
        <t>LIVE linear-elasticity Δ (=primary_output*E10*G10); recomputes on scenario flip / driver edit. Exact non-linear shadow-engine Δ for 'revenue_growth_y1' at (1-20.0%) = -0.0077 (fractional) — available via `modelforge` CLI/dossier.</t>
      </text>
    </comment>
    <comment ref="K10" authorId="0" shapeId="0">
      <text>
        <t>LIVE linear-elasticity Δ (=primary_output*F10*G10); recomputes on scenario flip / driver edit. Exact non-linear shadow-engine Δ for 'revenue_growth_y1' at (1+20.0%) = +0.0077 (fractional) — available via `modelforge` CLI/dossier.</t>
      </text>
    </comment>
    <comment ref="E11" authorId="0" shapeId="0">
      <text>
        <t>Low-arm fractional shock on 'ebitda_margin_y1'.</t>
      </text>
    </comment>
    <comment ref="F11" authorId="0" shapeId="0">
      <text>
        <t>High-arm fractional shock on 'ebitda_margin_y1'.</t>
      </text>
    </comment>
    <comment ref="G11" authorId="0" shapeId="0">
      <text>
        <t>Elasticity of Implied EV w.r.t. 'ebitda_margin_y1'. Kept as a reference even when method=shadow (gives a quick cross-check against the shadow-computed delta).</t>
      </text>
    </comment>
    <comment ref="J11" authorId="0" shapeId="0">
      <text>
        <t>LIVE linear-elasticity Δ (=primary_output*E11*G11); recomputes on scenario flip / driver edit. Exact non-linear shadow-engine Δ for 'ebitda_margin_y1' at (1-25.0%) = -0.0221 (fractional) — available via `modelforge` CLI/dossier.</t>
      </text>
    </comment>
    <comment ref="K11" authorId="0" shapeId="0">
      <text>
        <t>LIVE linear-elasticity Δ (=primary_output*F11*G11); recomputes on scenario flip / driver edit. Exact non-linear shadow-engine Δ for 'ebitda_margin_y1' at (1+25.0%) = +0.0221 (fractional) — available via `modelforge` CLI/dossier.</t>
      </text>
    </comment>
    <comment ref="E12" authorId="0" shapeId="0">
      <text>
        <t>Low-arm fractional shock on 'capex_pct_revenue'.</t>
      </text>
    </comment>
    <comment ref="F12" authorId="0" shapeId="0">
      <text>
        <t>High-arm fractional shock on 'capex_pct_revenue'.</t>
      </text>
    </comment>
    <comment ref="G12" authorId="0" shapeId="0">
      <text>
        <t>Elasticity of Implied EV w.r.t. 'capex_pct_revenue'. Kept as a reference even when method=shadow (gives a quick cross-check against the shadow-computed delta).</t>
      </text>
    </comment>
    <comment ref="J12" authorId="0" shapeId="0">
      <text>
        <t>LIVE linear-elasticity Δ (=primary_output*E12*G12); recomputes on scenario flip / driver edit. Exact non-linear shadow-engine Δ for 'capex_pct_revenue' at (1-20.0%) = +0.0965 (fractional) — available via `modelforge` CLI/dossier.</t>
      </text>
    </comment>
    <comment ref="K12" authorId="0" shapeId="0">
      <text>
        <t>LIVE linear-elasticity Δ (=primary_output*F12*G12); recomputes on scenario flip / driver edit. Exact non-linear shadow-engine Δ for 'capex_pct_revenue' at (1+20.0%) = -0.0965 (fractional) — available via `modelforge` CLI/dossier.</t>
      </text>
    </comment>
    <comment ref="E13" authorId="0" shapeId="0">
      <text>
        <t>Low-arm fractional shock on 'terminal_growth_pct'.</t>
      </text>
    </comment>
    <comment ref="F13" authorId="0" shapeId="0">
      <text>
        <t>High-arm fractional shock on 'terminal_growth_pct'.</t>
      </text>
    </comment>
    <comment ref="G13" authorId="0" shapeId="0">
      <text>
        <t>Elasticity of Implied EV w.r.t. 'terminal_growth_pct'. Kept as a reference even when method=shadow (gives a quick cross-check against the shadow-computed delta).</t>
      </text>
    </comment>
    <comment ref="J13" authorId="0" shapeId="0">
      <text>
        <t>LIVE linear-elasticity Δ (=primary_output*E13*G13); recomputes on scenario flip / driver edit. Exact non-linear shadow-engine Δ for 'terminal_growth_pct' at (1-50.0%) = -0.0550 (fractional) — available via `modelforge` CLI/dossier.</t>
      </text>
    </comment>
    <comment ref="K13" authorId="0" shapeId="0">
      <text>
        <t>LIVE linear-elasticity Δ (=primary_output*F13*G13); recomputes on scenario flip / driver edit. Exact non-linear shadow-engine Δ for 'terminal_growth_pct' at (1+50.0%) = +0.0765 (fractional) — available via `modelforge` CLI/dossier.</t>
      </text>
    </comment>
    <comment ref="E14" authorId="0" shapeId="0">
      <text>
        <t>Low-arm fractional shock on 'exit_ev_ebitda_x'.</t>
      </text>
    </comment>
    <comment ref="F14" authorId="0" shapeId="0">
      <text>
        <t>High-arm fractional shock on 'exit_ev_ebitda_x'.</t>
      </text>
    </comment>
    <comment ref="G14" authorId="0" shapeId="0">
      <text>
        <t>Elasticity of Implied EV w.r.t. 'exit_ev_ebitda_x'. Kept as a reference even when method=shadow (gives a quick cross-check against the shadow-computed delta).</t>
      </text>
    </comment>
    <comment ref="J14" authorId="0" shapeId="0">
      <text>
        <t>LIVE linear-elasticity Δ (=primary_output*E14*G14); recomputes on scenario flip / driver edit. Exact non-linear shadow-engine Δ for 'exit_ev_ebitda_x' at (1-15.0%) = -0.0576 (fractional) — available via `modelforge` CLI/dossier.</t>
      </text>
    </comment>
    <comment ref="K14" authorId="0" shapeId="0">
      <text>
        <t>LIVE linear-elasticity Δ (=primary_output*F14*G14); recomputes on scenario flip / driver edit. Exact non-linear shadow-engine Δ for 'exit_ev_ebitda_x' at (1+15.0%) = +0.0576 (fractional) — available via `modelforge` CLI/dossier.</t>
      </text>
    </comment>
    <comment ref="E15" authorId="0" shapeId="0">
      <text>
        <t>Low-arm fractional shock on 'beta_levered'.</t>
      </text>
    </comment>
    <comment ref="F15" authorId="0" shapeId="0">
      <text>
        <t>High-arm fractional shock on 'beta_levered'.</t>
      </text>
    </comment>
    <comment ref="G15" authorId="0" shapeId="0">
      <text>
        <t>Elasticity of Implied EV w.r.t. 'beta_levered'. Kept as a reference even when method=shadow (gives a quick cross-check against the shadow-computed delta).</t>
      </text>
    </comment>
    <comment ref="J15" authorId="0" shapeId="0">
      <text>
        <t>LIVE linear-elasticity Δ (=primary_output*E15*G15); recomputes on scenario flip / driver edit. Exact non-linear shadow-engine Δ for 'beta_levered' at (1-15.0%) = +0.0638 (fractional) — available via `modelforge` CLI/dossier.</t>
      </text>
    </comment>
    <comment ref="K15" authorId="0" shapeId="0">
      <text>
        <t>LIVE linear-elasticity Δ (=primary_output*F15*G15); recomputes on scenario flip / driver edit. Exact non-linear shadow-engine Δ for 'beta_levered' at (1+15.0%) = -0.0546 (fractional) — available via `modelforge` CLI/dossier.</t>
      </text>
    </comment>
    <comment ref="E16" authorId="0" shapeId="0">
      <text>
        <t>Low-arm fractional shock on 'equity_risk_premium'.</t>
      </text>
    </comment>
    <comment ref="F16" authorId="0" shapeId="0">
      <text>
        <t>High-arm fractional shock on 'equity_risk_premium'.</t>
      </text>
    </comment>
    <comment ref="G16" authorId="0" shapeId="0">
      <text>
        <t>Elasticity of Implied EV w.r.t. 'equity_risk_premium'. Kept as a reference even when method=shadow (gives a quick cross-check against the shadow-computed delta).</t>
      </text>
    </comment>
    <comment ref="J16" authorId="0" shapeId="0">
      <text>
        <t>LIVE linear-elasticity Δ (=primary_output*E16*G16); recomputes on scenario flip / driver edit. Exact non-linear shadow-engine Δ for 'equity_risk_premium' at (1-15.0%) = +0.0638 (fractional) — available via `modelforge` CLI/dossier.</t>
      </text>
    </comment>
    <comment ref="K16" authorId="0" shapeId="0">
      <text>
        <t>LIVE linear-elasticity Δ (=primary_output*F16*G16); recomputes on scenario flip / driver edit. Exact non-linear shadow-engine Δ for 'equity_risk_premium' at (1+15.0%) = -0.0546 (fractional) — available via `modelforge` CLI/dossier.</t>
      </text>
    </comment>
  </commentList>
</comments>
</file>

<file path=xl/comments/comment7.xml><?xml version="1.0" encoding="utf-8"?>
<comments xmlns="http://schemas.openxmlformats.org/spreadsheetml/2006/main">
  <authors>
    <author>ModelForge</author>
  </authors>
  <commentList>
    <comment ref="B9" authorId="0" shapeId="0">
      <text>
        <t>LIVE volatility input for the parametric (normal-approx) band. Seeded to the sampled std (0.0628) at build time so the parametric band matches the sampled distribution at the as-built scenario. Edit it (blue input) to widen/narrow the band — P5/P50/P95 recompute live. Distinct from the frozen sampled stats below.</t>
      </text>
    </comment>
    <comment ref="B11" authorId="0" shapeId="0">
      <text>
        <t>LIVE parametric (normal-approx) statistic — native Excel formula (primary_output) off primary_output + mc_vol. Recomputes when you flip scenario_index or edit mc_vol. NOT a sampled value: it is a Gaussian approximation of the downside band, distinct from the sampled histogram below.</t>
      </text>
    </comment>
    <comment ref="B12" authorId="0" shapeId="0">
      <text>
        <t>LIVE parametric (normal-approx) statistic — native Excel formula (primary_output*(1+NORM.S.INV(0.05)*mc_vol)) off primary_output + mc_vol. Recomputes when you flip scenario_index or edit mc_vol. NOT a sampled value: it is a Gaussian approximation of the downside band, distinct from the sampled histogram below.</t>
      </text>
    </comment>
    <comment ref="B13" authorId="0" shapeId="0">
      <text>
        <t>LIVE parametric (normal-approx) statistic — native Excel formula (primary_output*(1+NORM.S.INV(0.5)*mc_vol)) off primary_output + mc_vol. Recomputes when you flip scenario_index or edit mc_vol. NOT a sampled value: it is a Gaussian approximation of the downside band, distinct from the sampled histogram below.</t>
      </text>
    </comment>
    <comment ref="B14" authorId="0" shapeId="0">
      <text>
        <t>LIVE parametric (normal-approx) statistic — native Excel formula (primary_output*(1+NORM.S.INV(0.95)*mc_vol)) off primary_output + mc_vol. Recomputes when you flip scenario_index or edit mc_vol. NOT a sampled value: it is a Gaussian approximation of the downside band, distinct from the sampled histogram below.</t>
      </text>
    </comment>
    <comment ref="B18" authorId="0" shapeId="0">
      <text>
        <t>Computed from 1,000 triangular draws across 7 factors. Seed=20260417. Method=shadow. Δ mode=fractional. STATIC snapshot — does not recompute on scenario flip.</t>
      </text>
    </comment>
    <comment ref="B19" authorId="0" shapeId="0">
      <text>
        <t>Computed from 1,000 triangular draws across 7 factors. Seed=20260417. Method=shadow. Δ mode=fractional. STATIC snapshot — does not recompute on scenario flip.</t>
      </text>
    </comment>
    <comment ref="B20" authorId="0" shapeId="0">
      <text>
        <t>Computed from 1,000 triangular draws across 7 factors. Seed=20260417. Method=shadow. Δ mode=fractional. STATIC snapshot — does not recompute on scenario flip.</t>
      </text>
    </comment>
    <comment ref="B21" authorId="0" shapeId="0">
      <text>
        <t>Computed from 1,000 triangular draws across 7 factors. Seed=20260417. Method=shadow. Δ mode=fractional. STATIC snapshot — does not recompute on scenario flip.</t>
      </text>
    </comment>
    <comment ref="B22" authorId="0" shapeId="0">
      <text>
        <t>Computed from 1,000 triangular draws across 7 factors. Seed=20260417. Method=shadow. Δ mode=fractional. STATIC snapshot — does not recompute on scenario flip.</t>
      </text>
    </comment>
    <comment ref="B23" authorId="0" shapeId="0">
      <text>
        <t>Computed from 1,000 triangular draws across 7 factors. Seed=20260417. Method=shadow. Δ mode=fractional. STATIC snapshot — does not recompute on scenario flip.</t>
      </text>
    </comment>
    <comment ref="B24" authorId="0" shapeId="0">
      <text>
        <t>Computed from 1,000 triangular draws across 7 factors. Seed=20260417. Method=shadow. Δ mode=fractional. STATIC snapshot — does not recompute on scenario flip.</t>
      </text>
    </comment>
    <comment ref="B25" authorId="0" shapeId="0">
      <text>
        <t>Computed from 1,000 triangular draws across 7 factors. Seed=20260417. Method=shadow. Δ mode=fractional. STATIC snapshot — does not recompute on scenario flip.</t>
      </text>
    </comment>
    <comment ref="B26" authorId="0" shapeId="0">
      <text>
        <t>Computed from 1,000 triangular draws across 7 factors. Seed=20260417. Method=shadow. Δ mode=fractional. STATIC snapshot — does not recompute on scenario flip.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ources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OperatingModel'!A1" TargetMode="External" Id="rId3"/><Relationship Type="http://schemas.openxmlformats.org/officeDocument/2006/relationships/hyperlink" Target="#'DebtSchedule'!A1" TargetMode="External" Id="rId4"/><Relationship Type="http://schemas.openxmlformats.org/officeDocument/2006/relationships/hyperlink" Target="#'Covenants'!A1" TargetMode="External" Id="rId5"/><Relationship Type="http://schemas.openxmlformats.org/officeDocument/2006/relationships/hyperlink" Target="#'Returns'!A1" TargetMode="External" Id="rId6"/><Relationship Type="http://schemas.openxmlformats.org/officeDocument/2006/relationships/hyperlink" Target="#'QC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#'Sources'!A6" TargetMode="External" Id="rId1"/><Relationship Type="http://schemas.openxmlformats.org/officeDocument/2006/relationships/hyperlink" Target="#'Sources'!A6" TargetMode="External" Id="rId2"/><Relationship Type="http://schemas.openxmlformats.org/officeDocument/2006/relationships/hyperlink" Target="#'Sources'!A6" TargetMode="External" Id="rId3"/><Relationship Type="http://schemas.openxmlformats.org/officeDocument/2006/relationships/hyperlink" Target="#'Sources'!A6" TargetMode="External" Id="rId4"/><Relationship Type="http://schemas.openxmlformats.org/officeDocument/2006/relationships/hyperlink" Target="#'Sources'!A6" TargetMode="External" Id="rId5"/><Relationship Type="http://schemas.openxmlformats.org/officeDocument/2006/relationships/hyperlink" Target="#'Sources'!A6" TargetMode="External" Id="rId6"/><Relationship Type="http://schemas.openxmlformats.org/officeDocument/2006/relationships/hyperlink" Target="#'Sources'!A6" TargetMode="External" Id="rId7"/><Relationship Type="http://schemas.openxmlformats.org/officeDocument/2006/relationships/hyperlink" Target="#'Sources'!A6" TargetMode="External" Id="rId8"/><Relationship Type="http://schemas.openxmlformats.org/officeDocument/2006/relationships/hyperlink" Target="#'Sources'!A6" TargetMode="External" Id="rId9"/><Relationship Type="http://schemas.openxmlformats.org/officeDocument/2006/relationships/hyperlink" Target="#'Sources'!A6" TargetMode="External" Id="rId10"/><Relationship Type="http://schemas.openxmlformats.org/officeDocument/2006/relationships/hyperlink" Target="#'Sources'!A6" TargetMode="External" Id="rId11"/><Relationship Type="http://schemas.openxmlformats.org/officeDocument/2006/relationships/hyperlink" Target="#'Sources'!A6" TargetMode="External" Id="rId12"/><Relationship Type="http://schemas.openxmlformats.org/officeDocument/2006/relationships/hyperlink" Target="#'Sources'!A6" TargetMode="External" Id="rId13"/><Relationship Type="http://schemas.openxmlformats.org/officeDocument/2006/relationships/hyperlink" Target="#'Sources'!A6" TargetMode="External" Id="rId14"/><Relationship Type="http://schemas.openxmlformats.org/officeDocument/2006/relationships/hyperlink" Target="#'Sources'!A6" TargetMode="External" Id="rId15"/><Relationship Type="http://schemas.openxmlformats.org/officeDocument/2006/relationships/hyperlink" Target="#'Sources'!A6" TargetMode="External" Id="rId16"/><Relationship Type="http://schemas.openxmlformats.org/officeDocument/2006/relationships/hyperlink" Target="#'Sources'!A6" TargetMode="External" Id="rId17"/><Relationship Type="http://schemas.openxmlformats.org/officeDocument/2006/relationships/hyperlink" Target="#'Sources'!A6" TargetMode="External" Id="rId18"/><Relationship Type="http://schemas.openxmlformats.org/officeDocument/2006/relationships/hyperlink" Target="#'Sources'!A6" TargetMode="External" Id="rId19"/><Relationship Type="http://schemas.openxmlformats.org/officeDocument/2006/relationships/hyperlink" Target="#'Sources'!A6" TargetMode="External" Id="rId20"/><Relationship Type="http://schemas.openxmlformats.org/officeDocument/2006/relationships/hyperlink" Target="#'Sources'!A6" TargetMode="External" Id="rId21"/><Relationship Type="http://schemas.openxmlformats.org/officeDocument/2006/relationships/hyperlink" Target="#'Sources'!A6" TargetMode="External" Id="rId22"/><Relationship Type="http://schemas.openxmlformats.org/officeDocument/2006/relationships/hyperlink" Target="#'Sources'!A6" TargetMode="External" Id="rId23"/><Relationship Type="http://schemas.openxmlformats.org/officeDocument/2006/relationships/hyperlink" Target="#'Sources'!A6" TargetMode="External" Id="rId2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2" customWidth="1" min="4" max="4"/>
    <col width="14" customWidth="1" min="5" max="5"/>
    <col width="18" customWidth="1" min="6" max="6"/>
    <col width="60" customWidth="1" min="7" max="7"/>
    <col width="60" customWidth="1" min="8" max="8"/>
  </cols>
  <sheetData>
    <row r="1">
      <c r="A1" s="73" t="inlineStr">
        <is>
          <t>ModelForge Trust Layer — Red Flags</t>
        </is>
      </c>
    </row>
    <row r="2">
      <c r="A2" s="74" t="inlineStr">
        <is>
          <t>Workbook: dcf_industrial.xlsx</t>
        </is>
      </c>
    </row>
    <row r="3">
      <c r="A3" s="74" t="inlineStr">
        <is>
          <t>Template: dcf</t>
        </is>
      </c>
    </row>
    <row r="4">
      <c r="A4" s="75" t="inlineStr">
        <is>
          <t>Rules run: 7  •  FAIL: 0  WARN: 0  INFO: 0</t>
        </is>
      </c>
    </row>
    <row r="7">
      <c r="A7" s="76" t="inlineStr">
        <is>
          <t>#</t>
        </is>
      </c>
      <c r="B7" s="76" t="inlineStr">
        <is>
          <t>Severity</t>
        </is>
      </c>
      <c r="C7" s="76" t="inlineStr">
        <is>
          <t>Rule</t>
        </is>
      </c>
      <c r="D7" s="76" t="inlineStr">
        <is>
          <t>Cell / Anchor</t>
        </is>
      </c>
      <c r="E7" s="76" t="inlineStr">
        <is>
          <t>Actual</t>
        </is>
      </c>
      <c r="F7" s="76" t="inlineStr">
        <is>
          <t>Expected</t>
        </is>
      </c>
      <c r="G7" s="76" t="inlineStr">
        <is>
          <t>Message</t>
        </is>
      </c>
      <c r="H7" s="76" t="inlineStr">
        <is>
          <t>Recommendation</t>
        </is>
      </c>
    </row>
    <row r="8">
      <c r="B8" s="77" t="inlineStr">
        <is>
          <t>ALL CLEAR</t>
        </is>
      </c>
      <c r="C8" s="74" t="inlineStr">
        <is>
          <t>No plausibility violations triggered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IndustrialCo (synthetic benchmark) — Benchmark DCF — Generic US Industrial (synthetic)</t>
        </is>
      </c>
      <c r="B1" s="2" t="inlineStr">
        <is>
          <t>DCF benchmark — industriale USA generico (sintetico)</t>
        </is>
      </c>
    </row>
    <row r="2">
      <c r="A2" s="2" t="inlineStr">
        <is>
          <t>Strictly Private &amp; Confidential · FINAL · v1.0</t>
        </is>
      </c>
    </row>
    <row r="4">
      <c r="A4" s="3" t="inlineStr">
        <is>
          <t>Project code</t>
        </is>
      </c>
      <c r="B4" s="4" t="inlineStr">
        <is>
          <t>Codice progetto</t>
        </is>
      </c>
      <c r="C4" s="5" t="inlineStr">
        <is>
          <t>BM-DCF-001</t>
        </is>
      </c>
    </row>
    <row r="5">
      <c r="A5" s="3" t="inlineStr">
        <is>
          <t>Analyst</t>
        </is>
      </c>
      <c r="B5" s="4" t="inlineStr">
        <is>
          <t>Analista</t>
        </is>
      </c>
      <c r="C5" s="5" t="inlineStr">
        <is>
          <t>Benchmark</t>
        </is>
      </c>
    </row>
    <row r="6">
      <c r="A6" s="3" t="inlineStr">
        <is>
          <t>Valuation date</t>
        </is>
      </c>
      <c r="B6" s="4" t="inlineStr">
        <is>
          <t>Data valutazione</t>
        </is>
      </c>
      <c r="C6" s="6" t="inlineStr">
        <is>
          <t>2026-01-01</t>
        </is>
      </c>
    </row>
    <row r="7">
      <c r="A7" s="3" t="inlineStr">
        <is>
          <t>Version</t>
        </is>
      </c>
      <c r="B7" s="4" t="inlineStr">
        <is>
          <t>Versione</t>
        </is>
      </c>
      <c r="C7" s="5" t="inlineStr">
        <is>
          <t>v1.0</t>
        </is>
      </c>
    </row>
    <row r="8">
      <c r="A8" s="3" t="inlineStr">
        <is>
          <t>Status</t>
        </is>
      </c>
      <c r="B8" s="4" t="inlineStr">
        <is>
          <t>Stato</t>
        </is>
      </c>
      <c r="C8" s="5" t="inlineStr">
        <is>
          <t>final</t>
        </is>
      </c>
    </row>
    <row r="9">
      <c r="A9" s="3" t="inlineStr">
        <is>
          <t>Currency</t>
        </is>
      </c>
      <c r="B9" s="4" t="inlineStr">
        <is>
          <t>Valuta</t>
        </is>
      </c>
      <c r="C9" s="5" t="inlineStr">
        <is>
          <t>USD</t>
        </is>
      </c>
    </row>
    <row r="10">
      <c r="A10" s="3" t="inlineStr">
        <is>
          <t>Units</t>
        </is>
      </c>
      <c r="B10" s="4" t="inlineStr">
        <is>
          <t>Unità</t>
        </is>
      </c>
      <c r="C10" s="5" t="inlineStr">
        <is>
          <t>millions</t>
        </is>
      </c>
    </row>
    <row r="11">
      <c r="A11" s="3" t="inlineStr">
        <is>
          <t>Sign convention</t>
        </is>
      </c>
      <c r="B11" s="4" t="inlineStr">
        <is>
          <t>Convenzione di segno</t>
        </is>
      </c>
      <c r="C11" s="5" t="inlineStr">
        <is>
          <t>costs_negative</t>
        </is>
      </c>
    </row>
    <row r="12">
      <c r="A12" s="3" t="inlineStr">
        <is>
          <t>Target</t>
        </is>
      </c>
      <c r="B12" s="4" t="inlineStr">
        <is>
          <t>Target</t>
        </is>
      </c>
      <c r="C12" s="5" t="inlineStr">
        <is>
          <t>IndustrialCo (synthetic benchmark)</t>
        </is>
      </c>
    </row>
    <row r="13">
      <c r="A13" s="3" t="inlineStr">
        <is>
          <t>Sector</t>
        </is>
      </c>
      <c r="B13" s="4" t="inlineStr">
        <is>
          <t>Settore</t>
        </is>
      </c>
      <c r="C13" s="5" t="inlineStr">
        <is>
          <t>Diversified Industrials</t>
        </is>
      </c>
    </row>
    <row r="14">
      <c r="A14" s="3" t="inlineStr">
        <is>
          <t>Country</t>
        </is>
      </c>
      <c r="B14" s="4" t="inlineStr">
        <is>
          <t>Paese</t>
        </is>
      </c>
      <c r="C14" s="5" t="inlineStr">
        <is>
          <t>US</t>
        </is>
      </c>
    </row>
    <row r="16">
      <c r="A16" s="7" t="inlineStr">
        <is>
          <t>Scenario control</t>
        </is>
      </c>
      <c r="B16" s="8" t="inlineStr">
        <is>
          <t>Controllo scenari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Active scenario</t>
        </is>
      </c>
      <c r="B17" s="4" t="inlineStr">
        <is>
          <t>Scenario attivo</t>
        </is>
      </c>
      <c r="C17" s="10" t="n">
        <v>2</v>
      </c>
    </row>
    <row r="18">
      <c r="A18" s="3" t="inlineStr">
        <is>
          <t>Scenario (resolved)</t>
        </is>
      </c>
      <c r="B18" s="4" t="inlineStr">
        <is>
          <t>Scenario (attivo)</t>
        </is>
      </c>
      <c r="C18" s="56">
        <f>CHOOSE(scenario_index,"Worst","Base","Best")</f>
        <v/>
      </c>
    </row>
    <row r="20">
      <c r="A20" s="7" t="inlineStr">
        <is>
          <t>Revision log</t>
        </is>
      </c>
      <c r="B20" s="8" t="inlineStr">
        <is>
          <t>Registro revisioni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12" t="inlineStr">
        <is>
          <t>Version</t>
        </is>
      </c>
      <c r="B21" s="12" t="inlineStr">
        <is>
          <t>Date</t>
        </is>
      </c>
      <c r="C21" s="12" t="inlineStr">
        <is>
          <t>Analyst</t>
        </is>
      </c>
      <c r="D21" s="12" t="inlineStr">
        <is>
          <t>Note</t>
        </is>
      </c>
    </row>
    <row r="22">
      <c r="A22" s="13" t="inlineStr">
        <is>
          <t>v1.0</t>
        </is>
      </c>
      <c r="B22" s="6" t="inlineStr">
        <is>
          <t>2026-01-01</t>
        </is>
      </c>
      <c r="C22" s="13" t="inlineStr">
        <is>
          <t>Benchmark</t>
        </is>
      </c>
      <c r="D22" s="13" t="inlineStr">
        <is>
          <t>Frozen benchmark input — must match briefs/dcf_industrial.md exactly.</t>
        </is>
      </c>
    </row>
    <row r="25">
      <c r="A25" s="7" t="inlineStr">
        <is>
          <t>Sheet index</t>
        </is>
      </c>
      <c r="B25" s="8" t="inlineStr">
        <is>
          <t>Indice fogli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14" t="inlineStr">
        <is>
          <t>Sources</t>
        </is>
      </c>
    </row>
    <row r="27">
      <c r="A27" s="14" t="inlineStr">
        <is>
          <t>Assumptions</t>
        </is>
      </c>
    </row>
    <row r="28">
      <c r="A28" s="14" t="inlineStr">
        <is>
          <t>OperatingModel</t>
        </is>
      </c>
    </row>
    <row r="29">
      <c r="A29" s="14" t="inlineStr">
        <is>
          <t>DebtSchedule</t>
        </is>
      </c>
    </row>
    <row r="30">
      <c r="A30" s="14" t="inlineStr">
        <is>
          <t>Covenants</t>
        </is>
      </c>
    </row>
    <row r="31">
      <c r="A31" s="14" t="inlineStr">
        <is>
          <t>Returns</t>
        </is>
      </c>
    </row>
    <row r="32">
      <c r="A32" s="14" t="inlineStr">
        <is>
          <t>QC</t>
        </is>
      </c>
    </row>
  </sheetData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</hyperlinks>
  <printOptions horizontalCentered="1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22" customWidth="1" min="4" max="4"/>
    <col width="12" customWidth="1" min="5" max="5"/>
    <col width="40" customWidth="1" min="6" max="6"/>
    <col width="10" customWidth="1" min="7" max="7"/>
    <col width="40" customWidth="1" min="8" max="8"/>
  </cols>
  <sheetData>
    <row r="1">
      <c r="A1" s="15" t="inlineStr">
        <is>
          <t>Sources</t>
        </is>
      </c>
    </row>
    <row r="2">
      <c r="A2" s="2" t="inlineStr">
        <is>
          <t>Fonti</t>
        </is>
      </c>
    </row>
    <row r="3">
      <c r="A3" s="2" t="inlineStr">
        <is>
          <t>Every hardcoded number in this model traces back to a row below. Comment on the cell shows the ID; look it up here.</t>
        </is>
      </c>
    </row>
    <row r="4">
      <c r="A4" s="16" t="inlineStr">
        <is>
          <t>ID fonte</t>
        </is>
      </c>
      <c r="B4" s="16" t="inlineStr">
        <is>
          <t>Documento</t>
        </is>
      </c>
      <c r="C4" s="16" t="inlineStr">
        <is>
          <t>Pagina</t>
        </is>
      </c>
      <c r="D4" s="16" t="inlineStr">
        <is>
          <t>Editore</t>
        </is>
      </c>
      <c r="E4" s="16" t="inlineStr">
        <is>
          <t>Data</t>
        </is>
      </c>
      <c r="F4" s="16" t="inlineStr">
        <is>
          <t>URL</t>
        </is>
      </c>
      <c r="G4" s="16" t="inlineStr">
        <is>
          <t>Verificato</t>
        </is>
      </c>
      <c r="H4" s="16" t="inlineStr">
        <is>
          <t>Note</t>
        </is>
      </c>
    </row>
    <row r="5">
      <c r="A5" s="12" t="inlineStr">
        <is>
          <t>Source ID</t>
        </is>
      </c>
      <c r="B5" s="12" t="inlineStr">
        <is>
          <t>Document</t>
        </is>
      </c>
      <c r="C5" s="12" t="inlineStr">
        <is>
          <t>Page</t>
        </is>
      </c>
      <c r="D5" s="12" t="inlineStr">
        <is>
          <t>Publisher</t>
        </is>
      </c>
      <c r="E5" s="12" t="inlineStr">
        <is>
          <t>Date</t>
        </is>
      </c>
      <c r="F5" s="12" t="inlineStr">
        <is>
          <t>URL</t>
        </is>
      </c>
      <c r="G5" s="12" t="inlineStr">
        <is>
          <t>Verified</t>
        </is>
      </c>
      <c r="H5" s="12" t="inlineStr">
        <is>
          <t>Note</t>
        </is>
      </c>
    </row>
    <row r="6">
      <c r="A6" s="17" t="inlineStr">
        <is>
          <t>S-001</t>
        </is>
      </c>
      <c r="B6" s="13" t="inlineStr">
        <is>
          <t>benchmarks/briefs/dcf_industrial.md</t>
        </is>
      </c>
      <c r="C6" s="10" t="n">
        <v>1</v>
      </c>
      <c r="D6" s="13" t="inlineStr">
        <is>
          <t>ModelForge public benchmark (synthetic deal brief)</t>
        </is>
      </c>
      <c r="E6" s="6" t="inlineStr">
        <is>
          <t>2026-01-01</t>
        </is>
      </c>
      <c r="G6" s="18" t="inlineStr">
        <is>
          <t>✔</t>
        </is>
      </c>
      <c r="H6" s="13" t="inlineStr">
        <is>
          <t>All operating, WACC and bridge inputs are defined in the frozen benchmark brief.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40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48" customWidth="1" min="10" max="10"/>
    <col width="6" customWidth="1" min="11" max="11"/>
    <col width="8" customWidth="1" min="12" max="12"/>
  </cols>
  <sheetData>
    <row r="1">
      <c r="A1" s="15" t="inlineStr">
        <is>
          <t>Assumptions</t>
        </is>
      </c>
    </row>
    <row r="2">
      <c r="A2" s="2" t="inlineStr">
        <is>
          <t>Ipotesi e driver</t>
        </is>
      </c>
    </row>
    <row r="3">
      <c r="A3" s="2" t="inlineStr">
        <is>
          <t>Single source of truth. Every formula in the workbook reads the 'Active' column via named range. Change numbers here — nowhere else.</t>
        </is>
      </c>
    </row>
    <row r="5">
      <c r="A5" s="12" t="inlineStr">
        <is>
          <t>ID</t>
        </is>
      </c>
      <c r="B5" s="12" t="inlineStr">
        <is>
          <t>Driver</t>
        </is>
      </c>
      <c r="C5" s="12" t="inlineStr">
        <is>
          <t>Description</t>
        </is>
      </c>
      <c r="D5" s="12" t="inlineStr">
        <is>
          <t>Descrizione</t>
        </is>
      </c>
      <c r="E5" s="12" t="inlineStr">
        <is>
          <t>Unit</t>
        </is>
      </c>
      <c r="F5" s="12" t="inlineStr">
        <is>
          <t>Worst</t>
        </is>
      </c>
      <c r="G5" s="12" t="inlineStr">
        <is>
          <t>Base</t>
        </is>
      </c>
      <c r="H5" s="12" t="inlineStr">
        <is>
          <t>Best</t>
        </is>
      </c>
      <c r="I5" s="12" t="inlineStr">
        <is>
          <t>Active</t>
        </is>
      </c>
      <c r="J5" s="12" t="inlineStr">
        <is>
          <t>Rationale</t>
        </is>
      </c>
      <c r="K5" s="12" t="inlineStr">
        <is>
          <t>Conf.</t>
        </is>
      </c>
      <c r="L5" s="12" t="inlineStr">
        <is>
          <t>Source</t>
        </is>
      </c>
    </row>
    <row r="6">
      <c r="A6" s="17" t="inlineStr">
        <is>
          <t>A-101</t>
        </is>
      </c>
      <c r="B6" s="19" t="inlineStr">
        <is>
          <t>revenue_growth_y1</t>
        </is>
      </c>
      <c r="C6" s="3" t="inlineStr">
        <is>
          <t>Revenue growth Y1</t>
        </is>
      </c>
      <c r="D6" s="4" t="inlineStr">
        <is>
          <t>Crescita ricavi A1</t>
        </is>
      </c>
      <c r="E6" s="16" t="inlineStr">
        <is>
          <t>pct</t>
        </is>
      </c>
      <c r="F6" s="20" t="n">
        <v>0.04</v>
      </c>
      <c r="G6" s="20" t="n">
        <v>0.04</v>
      </c>
      <c r="H6" s="20" t="n">
        <v>0.04</v>
      </c>
      <c r="I6" s="57">
        <f>CHOOSE(scenario_index,F6,G6,H6)</f>
        <v/>
      </c>
      <c r="J6" s="22" t="inlineStr">
        <is>
          <t>Frozen benchmark fade path per brief BM-DCF-001.</t>
        </is>
      </c>
      <c r="K6" s="23" t="inlineStr">
        <is>
          <t>H</t>
        </is>
      </c>
      <c r="L6" s="24" t="inlineStr">
        <is>
          <t>S-001</t>
        </is>
      </c>
    </row>
    <row r="7">
      <c r="A7" s="17" t="inlineStr">
        <is>
          <t>A-102</t>
        </is>
      </c>
      <c r="B7" s="19" t="inlineStr">
        <is>
          <t>revenue_growth_y2</t>
        </is>
      </c>
      <c r="C7" s="3" t="inlineStr">
        <is>
          <t>Revenue growth Y2</t>
        </is>
      </c>
      <c r="D7" s="4" t="inlineStr">
        <is>
          <t>Crescita ricavi A2</t>
        </is>
      </c>
      <c r="E7" s="16" t="inlineStr">
        <is>
          <t>pct</t>
        </is>
      </c>
      <c r="F7" s="20" t="n">
        <v>0.035</v>
      </c>
      <c r="G7" s="20" t="n">
        <v>0.035</v>
      </c>
      <c r="H7" s="20" t="n">
        <v>0.035</v>
      </c>
      <c r="I7" s="57">
        <f>CHOOSE(scenario_index,F7,G7,H7)</f>
        <v/>
      </c>
      <c r="J7" s="22" t="inlineStr">
        <is>
          <t>Frozen benchmark fade path per brief BM-DCF-001.</t>
        </is>
      </c>
      <c r="K7" s="23" t="inlineStr">
        <is>
          <t>H</t>
        </is>
      </c>
      <c r="L7" s="24" t="inlineStr">
        <is>
          <t>S-001</t>
        </is>
      </c>
    </row>
    <row r="8">
      <c r="A8" s="17" t="inlineStr">
        <is>
          <t>A-103</t>
        </is>
      </c>
      <c r="B8" s="19" t="inlineStr">
        <is>
          <t>revenue_growth_y3</t>
        </is>
      </c>
      <c r="C8" s="3" t="inlineStr">
        <is>
          <t>Revenue growth Y3</t>
        </is>
      </c>
      <c r="D8" s="4" t="inlineStr">
        <is>
          <t>Crescita ricavi A3</t>
        </is>
      </c>
      <c r="E8" s="16" t="inlineStr">
        <is>
          <t>pct</t>
        </is>
      </c>
      <c r="F8" s="20" t="n">
        <v>0.03</v>
      </c>
      <c r="G8" s="20" t="n">
        <v>0.03</v>
      </c>
      <c r="H8" s="20" t="n">
        <v>0.03</v>
      </c>
      <c r="I8" s="57">
        <f>CHOOSE(scenario_index,F8,G8,H8)</f>
        <v/>
      </c>
      <c r="J8" s="22" t="inlineStr">
        <is>
          <t>Frozen benchmark fade path per brief BM-DCF-001.</t>
        </is>
      </c>
      <c r="K8" s="23" t="inlineStr">
        <is>
          <t>H</t>
        </is>
      </c>
      <c r="L8" s="24" t="inlineStr">
        <is>
          <t>S-001</t>
        </is>
      </c>
    </row>
    <row r="9">
      <c r="A9" s="17" t="inlineStr">
        <is>
          <t>A-104</t>
        </is>
      </c>
      <c r="B9" s="19" t="inlineStr">
        <is>
          <t>revenue_growth_y4</t>
        </is>
      </c>
      <c r="C9" s="3" t="inlineStr">
        <is>
          <t>Revenue growth Y4</t>
        </is>
      </c>
      <c r="D9" s="4" t="inlineStr">
        <is>
          <t>Crescita ricavi A4</t>
        </is>
      </c>
      <c r="E9" s="16" t="inlineStr">
        <is>
          <t>pct</t>
        </is>
      </c>
      <c r="F9" s="20" t="n">
        <v>0.025</v>
      </c>
      <c r="G9" s="20" t="n">
        <v>0.025</v>
      </c>
      <c r="H9" s="20" t="n">
        <v>0.025</v>
      </c>
      <c r="I9" s="57">
        <f>CHOOSE(scenario_index,F9,G9,H9)</f>
        <v/>
      </c>
      <c r="J9" s="22" t="inlineStr">
        <is>
          <t>Frozen benchmark fade path per brief BM-DCF-001.</t>
        </is>
      </c>
      <c r="K9" s="23" t="inlineStr">
        <is>
          <t>H</t>
        </is>
      </c>
      <c r="L9" s="24" t="inlineStr">
        <is>
          <t>S-001</t>
        </is>
      </c>
    </row>
    <row r="10">
      <c r="A10" s="17" t="inlineStr">
        <is>
          <t>A-105</t>
        </is>
      </c>
      <c r="B10" s="19" t="inlineStr">
        <is>
          <t>revenue_growth_y5</t>
        </is>
      </c>
      <c r="C10" s="3" t="inlineStr">
        <is>
          <t>Revenue growth Y5</t>
        </is>
      </c>
      <c r="D10" s="4" t="inlineStr">
        <is>
          <t>Crescita ricavi A5</t>
        </is>
      </c>
      <c r="E10" s="16" t="inlineStr">
        <is>
          <t>pct</t>
        </is>
      </c>
      <c r="F10" s="20" t="n">
        <v>0.02</v>
      </c>
      <c r="G10" s="20" t="n">
        <v>0.02</v>
      </c>
      <c r="H10" s="20" t="n">
        <v>0.02</v>
      </c>
      <c r="I10" s="57">
        <f>CHOOSE(scenario_index,F10,G10,H10)</f>
        <v/>
      </c>
      <c r="J10" s="22" t="inlineStr">
        <is>
          <t>Frozen benchmark fade path per brief BM-DCF-001.</t>
        </is>
      </c>
      <c r="K10" s="23" t="inlineStr">
        <is>
          <t>H</t>
        </is>
      </c>
      <c r="L10" s="24" t="inlineStr">
        <is>
          <t>S-001</t>
        </is>
      </c>
    </row>
    <row r="11">
      <c r="A11" s="17" t="inlineStr">
        <is>
          <t>A-201</t>
        </is>
      </c>
      <c r="B11" s="19" t="inlineStr">
        <is>
          <t>ebitda_margin_y1</t>
        </is>
      </c>
      <c r="C11" s="3" t="inlineStr">
        <is>
          <t>EBITDA margin Y1</t>
        </is>
      </c>
      <c r="D11" s="4" t="inlineStr">
        <is>
          <t>Margine EBITDA A1</t>
        </is>
      </c>
      <c r="E11" s="16" t="inlineStr">
        <is>
          <t>pct</t>
        </is>
      </c>
      <c r="F11" s="20" t="n">
        <v>0.18</v>
      </c>
      <c r="G11" s="20" t="n">
        <v>0.18</v>
      </c>
      <c r="H11" s="20" t="n">
        <v>0.18</v>
      </c>
      <c r="I11" s="57">
        <f>CHOOSE(scenario_index,F11,G11,H11)</f>
        <v/>
      </c>
      <c r="J11" s="22" t="inlineStr">
        <is>
          <t>Frozen benchmark input per brief BM-DCF-001.</t>
        </is>
      </c>
      <c r="K11" s="23" t="inlineStr">
        <is>
          <t>H</t>
        </is>
      </c>
      <c r="L11" s="24" t="inlineStr">
        <is>
          <t>S-001</t>
        </is>
      </c>
    </row>
    <row r="12">
      <c r="A12" s="17" t="inlineStr">
        <is>
          <t>A-202</t>
        </is>
      </c>
      <c r="B12" s="19" t="inlineStr">
        <is>
          <t>ebitda_margin_y2</t>
        </is>
      </c>
      <c r="C12" s="3" t="inlineStr">
        <is>
          <t>EBITDA margin Y2</t>
        </is>
      </c>
      <c r="D12" s="4" t="inlineStr">
        <is>
          <t>Margine EBITDA A2</t>
        </is>
      </c>
      <c r="E12" s="16" t="inlineStr">
        <is>
          <t>pct</t>
        </is>
      </c>
      <c r="F12" s="20" t="n">
        <v>0.18</v>
      </c>
      <c r="G12" s="20" t="n">
        <v>0.18</v>
      </c>
      <c r="H12" s="20" t="n">
        <v>0.18</v>
      </c>
      <c r="I12" s="57">
        <f>CHOOSE(scenario_index,F12,G12,H12)</f>
        <v/>
      </c>
      <c r="J12" s="22" t="inlineStr">
        <is>
          <t>Frozen benchmark input per brief BM-DCF-001.</t>
        </is>
      </c>
      <c r="K12" s="23" t="inlineStr">
        <is>
          <t>H</t>
        </is>
      </c>
      <c r="L12" s="24" t="inlineStr">
        <is>
          <t>S-001</t>
        </is>
      </c>
    </row>
    <row r="13">
      <c r="A13" s="17" t="inlineStr">
        <is>
          <t>A-203</t>
        </is>
      </c>
      <c r="B13" s="19" t="inlineStr">
        <is>
          <t>ebitda_margin_y3</t>
        </is>
      </c>
      <c r="C13" s="3" t="inlineStr">
        <is>
          <t>EBITDA margin Y3</t>
        </is>
      </c>
      <c r="D13" s="4" t="inlineStr">
        <is>
          <t>Margine EBITDA A3</t>
        </is>
      </c>
      <c r="E13" s="16" t="inlineStr">
        <is>
          <t>pct</t>
        </is>
      </c>
      <c r="F13" s="20" t="n">
        <v>0.18</v>
      </c>
      <c r="G13" s="20" t="n">
        <v>0.18</v>
      </c>
      <c r="H13" s="20" t="n">
        <v>0.18</v>
      </c>
      <c r="I13" s="57">
        <f>CHOOSE(scenario_index,F13,G13,H13)</f>
        <v/>
      </c>
      <c r="J13" s="22" t="inlineStr">
        <is>
          <t>Frozen benchmark input per brief BM-DCF-001.</t>
        </is>
      </c>
      <c r="K13" s="23" t="inlineStr">
        <is>
          <t>H</t>
        </is>
      </c>
      <c r="L13" s="24" t="inlineStr">
        <is>
          <t>S-001</t>
        </is>
      </c>
    </row>
    <row r="14">
      <c r="A14" s="17" t="inlineStr">
        <is>
          <t>A-204</t>
        </is>
      </c>
      <c r="B14" s="19" t="inlineStr">
        <is>
          <t>ebitda_margin_y4</t>
        </is>
      </c>
      <c r="C14" s="3" t="inlineStr">
        <is>
          <t>EBITDA margin Y4</t>
        </is>
      </c>
      <c r="D14" s="4" t="inlineStr">
        <is>
          <t>Margine EBITDA A4</t>
        </is>
      </c>
      <c r="E14" s="16" t="inlineStr">
        <is>
          <t>pct</t>
        </is>
      </c>
      <c r="F14" s="20" t="n">
        <v>0.18</v>
      </c>
      <c r="G14" s="20" t="n">
        <v>0.18</v>
      </c>
      <c r="H14" s="20" t="n">
        <v>0.18</v>
      </c>
      <c r="I14" s="57">
        <f>CHOOSE(scenario_index,F14,G14,H14)</f>
        <v/>
      </c>
      <c r="J14" s="22" t="inlineStr">
        <is>
          <t>Frozen benchmark input per brief BM-DCF-001.</t>
        </is>
      </c>
      <c r="K14" s="23" t="inlineStr">
        <is>
          <t>H</t>
        </is>
      </c>
      <c r="L14" s="24" t="inlineStr">
        <is>
          <t>S-001</t>
        </is>
      </c>
    </row>
    <row r="15">
      <c r="A15" s="17" t="inlineStr">
        <is>
          <t>A-205</t>
        </is>
      </c>
      <c r="B15" s="19" t="inlineStr">
        <is>
          <t>ebitda_margin_y5</t>
        </is>
      </c>
      <c r="C15" s="3" t="inlineStr">
        <is>
          <t>EBITDA margin Y5</t>
        </is>
      </c>
      <c r="D15" s="4" t="inlineStr">
        <is>
          <t>Margine EBITDA A5</t>
        </is>
      </c>
      <c r="E15" s="16" t="inlineStr">
        <is>
          <t>pct</t>
        </is>
      </c>
      <c r="F15" s="20" t="n">
        <v>0.18</v>
      </c>
      <c r="G15" s="20" t="n">
        <v>0.18</v>
      </c>
      <c r="H15" s="20" t="n">
        <v>0.18</v>
      </c>
      <c r="I15" s="57">
        <f>CHOOSE(scenario_index,F15,G15,H15)</f>
        <v/>
      </c>
      <c r="J15" s="22" t="inlineStr">
        <is>
          <t>Frozen benchmark input per brief BM-DCF-001.</t>
        </is>
      </c>
      <c r="K15" s="23" t="inlineStr">
        <is>
          <t>H</t>
        </is>
      </c>
      <c r="L15" s="24" t="inlineStr">
        <is>
          <t>S-001</t>
        </is>
      </c>
    </row>
    <row r="16">
      <c r="A16" s="17" t="inlineStr">
        <is>
          <t>A-301</t>
        </is>
      </c>
      <c r="B16" s="19" t="inlineStr">
        <is>
          <t>da_pct_revenue</t>
        </is>
      </c>
      <c r="C16" s="3" t="inlineStr">
        <is>
          <t>D&amp;A % revenue</t>
        </is>
      </c>
      <c r="D16" s="4" t="inlineStr">
        <is>
          <t>Ammortamenti % ricavi</t>
        </is>
      </c>
      <c r="E16" s="16" t="inlineStr">
        <is>
          <t>pct</t>
        </is>
      </c>
      <c r="F16" s="20" t="n">
        <v>0.06</v>
      </c>
      <c r="G16" s="20" t="n">
        <v>0.06</v>
      </c>
      <c r="H16" s="20" t="n">
        <v>0.06</v>
      </c>
      <c r="I16" s="57">
        <f>CHOOSE(scenario_index,F16,G16,H16)</f>
        <v/>
      </c>
      <c r="J16" s="22" t="inlineStr">
        <is>
          <t>Frozen benchmark input per brief BM-DCF-001 (EBIT margin = 18% - 6% = 12%).</t>
        </is>
      </c>
      <c r="K16" s="23" t="inlineStr">
        <is>
          <t>H</t>
        </is>
      </c>
      <c r="L16" s="24" t="inlineStr">
        <is>
          <t>S-001</t>
        </is>
      </c>
    </row>
    <row r="17">
      <c r="A17" s="17" t="inlineStr">
        <is>
          <t>A-302</t>
        </is>
      </c>
      <c r="B17" s="19" t="inlineStr">
        <is>
          <t>capex_pct_revenue</t>
        </is>
      </c>
      <c r="C17" s="3" t="inlineStr">
        <is>
          <t>Capex % revenue</t>
        </is>
      </c>
      <c r="D17" s="4" t="inlineStr">
        <is>
          <t>Capex % ricavi</t>
        </is>
      </c>
      <c r="E17" s="16" t="inlineStr">
        <is>
          <t>pct</t>
        </is>
      </c>
      <c r="F17" s="20" t="n">
        <v>0.065</v>
      </c>
      <c r="G17" s="20" t="n">
        <v>0.065</v>
      </c>
      <c r="H17" s="20" t="n">
        <v>0.065</v>
      </c>
      <c r="I17" s="57">
        <f>CHOOSE(scenario_index,F17,G17,H17)</f>
        <v/>
      </c>
      <c r="J17" s="22" t="inlineStr">
        <is>
          <t>Frozen benchmark input per brief BM-DCF-001.</t>
        </is>
      </c>
      <c r="K17" s="23" t="inlineStr">
        <is>
          <t>H</t>
        </is>
      </c>
      <c r="L17" s="24" t="inlineStr">
        <is>
          <t>S-001</t>
        </is>
      </c>
    </row>
    <row r="18">
      <c r="A18" s="17" t="inlineStr">
        <is>
          <t>A-303</t>
        </is>
      </c>
      <c r="B18" s="19" t="inlineStr">
        <is>
          <t>nwc_pct_revenue_delta</t>
        </is>
      </c>
      <c r="C18" s="3" t="inlineStr">
        <is>
          <t>dNWC % dRevenue</t>
        </is>
      </c>
      <c r="D18" s="4" t="inlineStr">
        <is>
          <t>dCCN % dRicavi</t>
        </is>
      </c>
      <c r="E18" s="16" t="inlineStr">
        <is>
          <t>pct</t>
        </is>
      </c>
      <c r="F18" s="20" t="n">
        <v>0.1</v>
      </c>
      <c r="G18" s="20" t="n">
        <v>0.1</v>
      </c>
      <c r="H18" s="20" t="n">
        <v>0.1</v>
      </c>
      <c r="I18" s="57">
        <f>CHOOSE(scenario_index,F18,G18,H18)</f>
        <v/>
      </c>
      <c r="J18" s="22" t="inlineStr">
        <is>
          <t>Frozen benchmark input per brief BM-DCF-001.</t>
        </is>
      </c>
      <c r="K18" s="23" t="inlineStr">
        <is>
          <t>H</t>
        </is>
      </c>
      <c r="L18" s="24" t="inlineStr">
        <is>
          <t>S-001</t>
        </is>
      </c>
    </row>
    <row r="19">
      <c r="A19" s="17" t="inlineStr">
        <is>
          <t>A-001</t>
        </is>
      </c>
      <c r="B19" s="19" t="inlineStr">
        <is>
          <t>risk_free_rate</t>
        </is>
      </c>
      <c r="C19" s="3" t="inlineStr">
        <is>
          <t>Risk-free rate (10Y UST)</t>
        </is>
      </c>
      <c r="D19" s="4" t="inlineStr">
        <is>
          <t>Tasso risk-free (UST 10A)</t>
        </is>
      </c>
      <c r="E19" s="16" t="inlineStr">
        <is>
          <t>pct</t>
        </is>
      </c>
      <c r="F19" s="20" t="n">
        <v>0.0425</v>
      </c>
      <c r="G19" s="20" t="n">
        <v>0.0425</v>
      </c>
      <c r="H19" s="20" t="n">
        <v>0.0425</v>
      </c>
      <c r="I19" s="57">
        <f>CHOOSE(scenario_index,F19,G19,H19)</f>
        <v/>
      </c>
      <c r="J19" s="22" t="inlineStr">
        <is>
          <t>Frozen benchmark input per brief BM-DCF-001.</t>
        </is>
      </c>
      <c r="K19" s="23" t="inlineStr">
        <is>
          <t>H</t>
        </is>
      </c>
      <c r="L19" s="24" t="inlineStr">
        <is>
          <t>S-001</t>
        </is>
      </c>
    </row>
    <row r="20">
      <c r="A20" s="17" t="inlineStr">
        <is>
          <t>A-002</t>
        </is>
      </c>
      <c r="B20" s="19" t="inlineStr">
        <is>
          <t>equity_risk_premium</t>
        </is>
      </c>
      <c r="C20" s="3" t="inlineStr">
        <is>
          <t>Equity risk premium</t>
        </is>
      </c>
      <c r="D20" s="4" t="inlineStr">
        <is>
          <t>Premio per il rischio azionario</t>
        </is>
      </c>
      <c r="E20" s="16" t="inlineStr">
        <is>
          <t>pct</t>
        </is>
      </c>
      <c r="F20" s="20" t="n">
        <v>0.05</v>
      </c>
      <c r="G20" s="20" t="n">
        <v>0.05</v>
      </c>
      <c r="H20" s="20" t="n">
        <v>0.05</v>
      </c>
      <c r="I20" s="57">
        <f>CHOOSE(scenario_index,F20,G20,H20)</f>
        <v/>
      </c>
      <c r="J20" s="22" t="inlineStr">
        <is>
          <t>Frozen benchmark input per brief BM-DCF-001.</t>
        </is>
      </c>
      <c r="K20" s="23" t="inlineStr">
        <is>
          <t>H</t>
        </is>
      </c>
      <c r="L20" s="24" t="inlineStr">
        <is>
          <t>S-001</t>
        </is>
      </c>
    </row>
    <row r="21">
      <c r="A21" s="17" t="inlineStr">
        <is>
          <t>A-003</t>
        </is>
      </c>
      <c r="B21" s="19" t="inlineStr">
        <is>
          <t>beta_levered</t>
        </is>
      </c>
      <c r="C21" s="3" t="inlineStr">
        <is>
          <t>Beta (levered)</t>
        </is>
      </c>
      <c r="D21" s="4" t="inlineStr">
        <is>
          <t>Beta (levered)</t>
        </is>
      </c>
      <c r="E21" s="16" t="inlineStr">
        <is>
          <t>x</t>
        </is>
      </c>
      <c r="F21" s="25" t="n">
        <v>1.1</v>
      </c>
      <c r="G21" s="25" t="n">
        <v>1.1</v>
      </c>
      <c r="H21" s="25" t="n">
        <v>1.1</v>
      </c>
      <c r="I21" s="58">
        <f>CHOOSE(scenario_index,F21,G21,H21)</f>
        <v/>
      </c>
      <c r="J21" s="22" t="inlineStr">
        <is>
          <t>Frozen benchmark input per brief BM-DCF-001.</t>
        </is>
      </c>
      <c r="K21" s="23" t="inlineStr">
        <is>
          <t>H</t>
        </is>
      </c>
      <c r="L21" s="24" t="inlineStr">
        <is>
          <t>S-001</t>
        </is>
      </c>
    </row>
    <row r="22">
      <c r="A22" s="17" t="inlineStr">
        <is>
          <t>A-004</t>
        </is>
      </c>
      <c r="B22" s="19" t="inlineStr">
        <is>
          <t>pretax_cost_of_debt</t>
        </is>
      </c>
      <c r="C22" s="3" t="inlineStr">
        <is>
          <t>Pre-tax cost of debt</t>
        </is>
      </c>
      <c r="D22" s="4" t="inlineStr">
        <is>
          <t>Costo del debito pre-tax</t>
        </is>
      </c>
      <c r="E22" s="16" t="inlineStr">
        <is>
          <t>pct</t>
        </is>
      </c>
      <c r="F22" s="20" t="n">
        <v>0.0575</v>
      </c>
      <c r="G22" s="20" t="n">
        <v>0.0575</v>
      </c>
      <c r="H22" s="20" t="n">
        <v>0.0575</v>
      </c>
      <c r="I22" s="57">
        <f>CHOOSE(scenario_index,F22,G22,H22)</f>
        <v/>
      </c>
      <c r="J22" s="22" t="inlineStr">
        <is>
          <t>Frozen benchmark input per brief BM-DCF-001.</t>
        </is>
      </c>
      <c r="K22" s="23" t="inlineStr">
        <is>
          <t>H</t>
        </is>
      </c>
      <c r="L22" s="24" t="inlineStr">
        <is>
          <t>S-001</t>
        </is>
      </c>
    </row>
    <row r="23">
      <c r="A23" s="17" t="inlineStr">
        <is>
          <t>A-005</t>
        </is>
      </c>
      <c r="B23" s="19" t="inlineStr">
        <is>
          <t>target_debt_weight</t>
        </is>
      </c>
      <c r="C23" s="3" t="inlineStr">
        <is>
          <t>Target D / (D+E)</t>
        </is>
      </c>
      <c r="D23" s="4" t="inlineStr">
        <is>
          <t>Leva obiettivo</t>
        </is>
      </c>
      <c r="E23" s="16" t="inlineStr">
        <is>
          <t>pct</t>
        </is>
      </c>
      <c r="F23" s="20" t="n">
        <v>0.3</v>
      </c>
      <c r="G23" s="20" t="n">
        <v>0.3</v>
      </c>
      <c r="H23" s="20" t="n">
        <v>0.3</v>
      </c>
      <c r="I23" s="57">
        <f>CHOOSE(scenario_index,F23,G23,H23)</f>
        <v/>
      </c>
      <c r="J23" s="22" t="inlineStr">
        <is>
          <t>Frozen benchmark input per brief BM-DCF-001.</t>
        </is>
      </c>
      <c r="K23" s="23" t="inlineStr">
        <is>
          <t>H</t>
        </is>
      </c>
      <c r="L23" s="24" t="inlineStr">
        <is>
          <t>S-001</t>
        </is>
      </c>
    </row>
    <row r="24">
      <c r="A24" s="17" t="inlineStr">
        <is>
          <t>A-006</t>
        </is>
      </c>
      <c r="B24" s="19" t="inlineStr">
        <is>
          <t>effective_tax_rate</t>
        </is>
      </c>
      <c r="C24" s="3" t="inlineStr">
        <is>
          <t>Effective tax rate</t>
        </is>
      </c>
      <c r="D24" s="4" t="inlineStr">
        <is>
          <t>Aliquota effettiva</t>
        </is>
      </c>
      <c r="E24" s="16" t="inlineStr">
        <is>
          <t>pct</t>
        </is>
      </c>
      <c r="F24" s="20" t="n">
        <v>0.25</v>
      </c>
      <c r="G24" s="20" t="n">
        <v>0.25</v>
      </c>
      <c r="H24" s="20" t="n">
        <v>0.25</v>
      </c>
      <c r="I24" s="57">
        <f>CHOOSE(scenario_index,F24,G24,H24)</f>
        <v/>
      </c>
      <c r="J24" s="22" t="inlineStr">
        <is>
          <t>Frozen benchmark input per brief BM-DCF-001.</t>
        </is>
      </c>
      <c r="K24" s="23" t="inlineStr">
        <is>
          <t>H</t>
        </is>
      </c>
      <c r="L24" s="24" t="inlineStr">
        <is>
          <t>S-001</t>
        </is>
      </c>
    </row>
    <row r="25">
      <c r="A25" s="17" t="inlineStr">
        <is>
          <t>A-401</t>
        </is>
      </c>
      <c r="B25" s="19" t="inlineStr">
        <is>
          <t>terminal_growth_pct</t>
        </is>
      </c>
      <c r="C25" s="3" t="inlineStr">
        <is>
          <t>Terminal growth</t>
        </is>
      </c>
      <c r="D25" s="4" t="inlineStr">
        <is>
          <t>Crescita terminale</t>
        </is>
      </c>
      <c r="E25" s="16" t="inlineStr">
        <is>
          <t>pct</t>
        </is>
      </c>
      <c r="F25" s="20" t="n">
        <v>0.02</v>
      </c>
      <c r="G25" s="20" t="n">
        <v>0.02</v>
      </c>
      <c r="H25" s="20" t="n">
        <v>0.02</v>
      </c>
      <c r="I25" s="57">
        <f>CHOOSE(scenario_index,F25,G25,H25)</f>
        <v/>
      </c>
      <c r="J25" s="22" t="inlineStr">
        <is>
          <t>Frozen benchmark input per brief BM-DCF-001 (g = 2.0% &lt; rf = 4.25%).</t>
        </is>
      </c>
      <c r="K25" s="23" t="inlineStr">
        <is>
          <t>H</t>
        </is>
      </c>
      <c r="L25" s="24" t="inlineStr">
        <is>
          <t>S-001</t>
        </is>
      </c>
    </row>
    <row r="26">
      <c r="A26" s="17" t="inlineStr">
        <is>
          <t>A-402</t>
        </is>
      </c>
      <c r="B26" s="19" t="inlineStr">
        <is>
          <t>exit_ev_ebitda_x</t>
        </is>
      </c>
      <c r="C26" s="3" t="inlineStr">
        <is>
          <t>Exit EV/EBITDA (cross-check only)</t>
        </is>
      </c>
      <c r="D26" s="4" t="inlineStr">
        <is>
          <t>EV/EBITDA uscita (solo verifica)</t>
        </is>
      </c>
      <c r="E26" s="16" t="inlineStr">
        <is>
          <t>x</t>
        </is>
      </c>
      <c r="F26" s="25" t="n">
        <v>8</v>
      </c>
      <c r="G26" s="25" t="n">
        <v>8</v>
      </c>
      <c r="H26" s="25" t="n">
        <v>8</v>
      </c>
      <c r="I26" s="58">
        <f>CHOOSE(scenario_index,F26,G26,H26)</f>
        <v/>
      </c>
      <c r="J26" s="22" t="inlineStr">
        <is>
          <t>Displayed for reconciliation only; the brief pins Gordon as the terminal method.</t>
        </is>
      </c>
      <c r="K26" s="27" t="inlineStr">
        <is>
          <t>M</t>
        </is>
      </c>
      <c r="L26" s="24" t="inlineStr">
        <is>
          <t>S-001</t>
        </is>
      </c>
    </row>
    <row r="27">
      <c r="A27" s="17" t="inlineStr">
        <is>
          <t>A-501</t>
        </is>
      </c>
      <c r="B27" s="19" t="inlineStr">
        <is>
          <t>net_debt_assum</t>
        </is>
      </c>
      <c r="C27" s="3" t="inlineStr">
        <is>
          <t>Net debt ($m)</t>
        </is>
      </c>
      <c r="D27" s="4" t="inlineStr">
        <is>
          <t>Indebitamento netto ($m)</t>
        </is>
      </c>
      <c r="E27" s="16" t="inlineStr">
        <is>
          <t>eur_m</t>
        </is>
      </c>
      <c r="F27" s="28" t="n">
        <v>250</v>
      </c>
      <c r="G27" s="28" t="n">
        <v>250</v>
      </c>
      <c r="H27" s="28" t="n">
        <v>250</v>
      </c>
      <c r="I27" s="59">
        <f>CHOOSE(scenario_index,F27,G27,H27)</f>
        <v/>
      </c>
      <c r="J27" s="22" t="inlineStr">
        <is>
          <t>Frozen benchmark input per brief BM-DCF-001.</t>
        </is>
      </c>
      <c r="K27" s="23" t="inlineStr">
        <is>
          <t>H</t>
        </is>
      </c>
      <c r="L27" s="24" t="inlineStr">
        <is>
          <t>S-001</t>
        </is>
      </c>
    </row>
    <row r="28">
      <c r="A28" s="17" t="inlineStr">
        <is>
          <t>A-502</t>
        </is>
      </c>
      <c r="B28" s="19" t="inlineStr">
        <is>
          <t>shares_outstanding_assum</t>
        </is>
      </c>
      <c r="C28" s="3" t="inlineStr">
        <is>
          <t>Shares outstanding (m)</t>
        </is>
      </c>
      <c r="D28" s="4" t="inlineStr">
        <is>
          <t>Azioni in circolazione (m)</t>
        </is>
      </c>
      <c r="E28" s="16" t="inlineStr">
        <is>
          <t>count</t>
        </is>
      </c>
      <c r="F28" s="10" t="n">
        <v>150</v>
      </c>
      <c r="G28" s="10" t="n">
        <v>150</v>
      </c>
      <c r="H28" s="10" t="n">
        <v>150</v>
      </c>
      <c r="I28" s="60">
        <f>CHOOSE(scenario_index,F28,G28,H28)</f>
        <v/>
      </c>
      <c r="J28" s="22" t="inlineStr">
        <is>
          <t>Frozen benchmark input per brief BM-DCF-001.</t>
        </is>
      </c>
      <c r="K28" s="23" t="inlineStr">
        <is>
          <t>H</t>
        </is>
      </c>
      <c r="L28" s="24" t="inlineStr">
        <is>
          <t>S-001</t>
        </is>
      </c>
    </row>
    <row r="29">
      <c r="A29" s="17" t="inlineStr">
        <is>
          <t>A-503</t>
        </is>
      </c>
      <c r="B29" s="19" t="inlineStr">
        <is>
          <t>current_price_assum</t>
        </is>
      </c>
      <c r="C29" s="3" t="inlineStr">
        <is>
          <t>Reference share price ($)</t>
        </is>
      </c>
      <c r="D29" s="4" t="inlineStr">
        <is>
          <t>Prezzo di riferimento ($)</t>
        </is>
      </c>
      <c r="E29" s="16" t="inlineStr">
        <is>
          <t>eur</t>
        </is>
      </c>
      <c r="F29" s="31" t="n">
        <v>8</v>
      </c>
      <c r="G29" s="31" t="n">
        <v>8</v>
      </c>
      <c r="H29" s="31" t="n">
        <v>8</v>
      </c>
      <c r="I29" s="61">
        <f>CHOOSE(scenario_index,F29,G29,H29)</f>
        <v/>
      </c>
      <c r="J29" s="22" t="inlineStr">
        <is>
          <t>Frozen benchmark input per brief BM-DCF-001.</t>
        </is>
      </c>
      <c r="K29" s="23" t="inlineStr">
        <is>
          <t>H</t>
        </is>
      </c>
      <c r="L29" s="24" t="inlineStr">
        <is>
          <t>S-001</t>
        </is>
      </c>
    </row>
  </sheetData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Comparable Betas (none provided)</t>
        </is>
      </c>
    </row>
    <row r="2">
      <c r="A2" s="2" t="inlineStr">
        <is>
          <t>Add wacc.comparable_betas to spec to enable Hamada unlever/relever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32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WACC Build</t>
        </is>
      </c>
      <c r="B1" s="2" t="inlineStr">
        <is>
          <t>Calcolo WACC</t>
        </is>
      </c>
    </row>
    <row r="2">
      <c r="A2" s="2" t="inlineStr">
        <is>
          <t>Damodaran CRP methodology + Hamada beta (when comps present)</t>
        </is>
      </c>
    </row>
    <row r="5">
      <c r="A5" s="3" t="inlineStr">
        <is>
          <t>Risk-free rate (10Y BTP)</t>
        </is>
      </c>
      <c r="B5" s="4" t="inlineStr">
        <is>
          <t>Tasso risk-free</t>
        </is>
      </c>
      <c r="D5" s="33">
        <f>risk_free_rate</f>
        <v/>
      </c>
    </row>
    <row r="6">
      <c r="A6" s="3" t="inlineStr">
        <is>
          <t>Equity risk premium (country)</t>
        </is>
      </c>
      <c r="B6" s="4" t="inlineStr">
        <is>
          <t>ERP paese</t>
        </is>
      </c>
      <c r="D6" s="33">
        <f>equity_risk_premium</f>
        <v/>
      </c>
    </row>
    <row r="7">
      <c r="A7" s="3" t="inlineStr">
        <is>
          <t>Beta (levered — input)</t>
        </is>
      </c>
      <c r="B7" s="4" t="inlineStr">
        <is>
          <t>Beta</t>
        </is>
      </c>
      <c r="D7" s="34">
        <f>beta_levered</f>
        <v/>
      </c>
    </row>
    <row r="8">
      <c r="A8" s="3" t="inlineStr">
        <is>
          <t>Cost of equity</t>
        </is>
      </c>
      <c r="B8" s="4" t="inlineStr">
        <is>
          <t>Costo del capitale</t>
        </is>
      </c>
      <c r="D8" s="62">
        <f>risk_free_rate+beta_levered*(equity_risk_premium)</f>
        <v/>
      </c>
    </row>
    <row r="9">
      <c r="A9" s="3" t="inlineStr">
        <is>
          <t>Pre-tax cost of debt</t>
        </is>
      </c>
      <c r="B9" s="4" t="inlineStr">
        <is>
          <t>Costo del debito pre-tax</t>
        </is>
      </c>
      <c r="D9" s="33">
        <f>pretax_cost_of_debt</f>
        <v/>
      </c>
    </row>
    <row r="10">
      <c r="A10" s="3" t="inlineStr">
        <is>
          <t>Effective tax rate</t>
        </is>
      </c>
      <c r="B10" s="4" t="inlineStr">
        <is>
          <t>Aliquota effettiva</t>
        </is>
      </c>
      <c r="D10" s="36">
        <f>effective_tax_rate</f>
        <v/>
      </c>
    </row>
    <row r="11">
      <c r="A11" s="3" t="inlineStr">
        <is>
          <t>After-tax cost of debt</t>
        </is>
      </c>
      <c r="B11" s="4" t="inlineStr">
        <is>
          <t>Costo del debito post-tax</t>
        </is>
      </c>
      <c r="D11" s="33">
        <f>pretax_cost_of_debt*(1-effective_tax_rate)</f>
        <v/>
      </c>
    </row>
    <row r="12">
      <c r="A12" s="3" t="inlineStr">
        <is>
          <t>Target D / (D+E)</t>
        </is>
      </c>
      <c r="B12" s="4" t="inlineStr">
        <is>
          <t>Target D / (D+E)</t>
        </is>
      </c>
      <c r="D12" s="36">
        <f>target_debt_weight</f>
        <v/>
      </c>
    </row>
    <row r="13">
      <c r="A13" s="3" t="inlineStr">
        <is>
          <t>Target E / (D+E)</t>
        </is>
      </c>
      <c r="B13" s="4" t="inlineStr">
        <is>
          <t>Target E / (D+E)</t>
        </is>
      </c>
      <c r="D13" s="36">
        <f>1-target_debt_weight</f>
        <v/>
      </c>
    </row>
    <row r="14">
      <c r="A14" s="3" t="inlineStr">
        <is>
          <t>WACC</t>
        </is>
      </c>
      <c r="B14" s="4" t="inlineStr">
        <is>
          <t>WACC</t>
        </is>
      </c>
      <c r="D14" s="62">
        <f>((risk_free_rate+beta_levered*(equity_risk_premium))*(1-target_debt_weight))+(pretax_cost_of_debt*(1-effective_tax_rate)*target_debt_weight)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FCF Forecast</t>
        </is>
      </c>
      <c r="B1" s="2" t="inlineStr">
        <is>
          <t>Previsione FCF</t>
        </is>
      </c>
    </row>
    <row r="2">
      <c r="A2" s="2" t="inlineStr">
        <is>
          <t>Unlevered free cash flow to the firm</t>
        </is>
      </c>
    </row>
    <row r="3">
      <c r="A3" s="37" t="inlineStr">
        <is>
          <t>ACTIVE SCENARIO →</t>
        </is>
      </c>
      <c r="B3" s="38" t="inlineStr">
        <is>
          <t>SCENARIO ATTIVO →</t>
        </is>
      </c>
      <c r="C3" s="63">
        <f>CHOOSE(scenario_index,"WORST","BASE","BEST")</f>
        <v/>
      </c>
    </row>
    <row r="5">
      <c r="D5" s="12" t="inlineStr">
        <is>
          <t>HY1</t>
        </is>
      </c>
      <c r="E5" s="12" t="inlineStr">
        <is>
          <t>HY2</t>
        </is>
      </c>
      <c r="F5" s="12" t="inlineStr">
        <is>
          <t>HY3</t>
        </is>
      </c>
      <c r="G5" s="12" t="inlineStr">
        <is>
          <t>FY1</t>
        </is>
      </c>
      <c r="H5" s="12" t="inlineStr">
        <is>
          <t>FY2</t>
        </is>
      </c>
      <c r="I5" s="12" t="inlineStr">
        <is>
          <t>FY3</t>
        </is>
      </c>
      <c r="J5" s="12" t="inlineStr">
        <is>
          <t>FY4</t>
        </is>
      </c>
      <c r="K5" s="12" t="inlineStr">
        <is>
          <t>FY5</t>
        </is>
      </c>
    </row>
    <row r="6">
      <c r="A6" s="2" t="inlineStr">
        <is>
          <t>Stub period: 365 days (full year) | Single-stage explicit (no fade)</t>
        </is>
      </c>
    </row>
    <row r="7">
      <c r="A7" s="3" t="inlineStr">
        <is>
          <t>Revenue</t>
        </is>
      </c>
      <c r="B7" s="4" t="inlineStr">
        <is>
          <t>Ricavi</t>
        </is>
      </c>
      <c r="D7" s="28" t="n">
        <v>810</v>
      </c>
      <c r="E7" s="28" t="n">
        <v>900</v>
      </c>
      <c r="F7" s="28" t="n">
        <v>1000</v>
      </c>
      <c r="G7" s="40">
        <f>F7*(1+revenue_growth_y1)</f>
        <v/>
      </c>
      <c r="H7" s="40">
        <f>G7*(1+revenue_growth_y2)</f>
        <v/>
      </c>
      <c r="I7" s="40">
        <f>H7*(1+revenue_growth_y3)</f>
        <v/>
      </c>
      <c r="J7" s="40">
        <f>I7*(1+revenue_growth_y4)</f>
        <v/>
      </c>
      <c r="K7" s="40">
        <f>J7*(1+revenue_growth_y5)</f>
        <v/>
      </c>
    </row>
    <row r="8">
      <c r="A8" s="3" t="inlineStr">
        <is>
          <t>EBITDA</t>
        </is>
      </c>
      <c r="B8" s="4" t="inlineStr">
        <is>
          <t>EBITDA</t>
        </is>
      </c>
      <c r="D8" s="28" t="n">
        <v>180</v>
      </c>
      <c r="E8" s="28" t="n">
        <v>180</v>
      </c>
      <c r="F8" s="28" t="n">
        <v>180</v>
      </c>
      <c r="G8" s="40">
        <f>G7*ebitda_margin_y1</f>
        <v/>
      </c>
      <c r="H8" s="40">
        <f>H7*ebitda_margin_y2</f>
        <v/>
      </c>
      <c r="I8" s="40">
        <f>I7*ebitda_margin_y3</f>
        <v/>
      </c>
      <c r="J8" s="40">
        <f>J7*ebitda_margin_y4</f>
        <v/>
      </c>
      <c r="K8" s="40">
        <f>K7*ebitda_margin_y5</f>
        <v/>
      </c>
    </row>
    <row r="9">
      <c r="A9" s="41" t="inlineStr">
        <is>
          <t>D&amp;A</t>
        </is>
      </c>
      <c r="B9" s="4" t="inlineStr">
        <is>
          <t>A&amp;A</t>
        </is>
      </c>
      <c r="D9" s="40">
        <f>-D7*da_pct_revenue</f>
        <v/>
      </c>
      <c r="E9" s="40">
        <f>-E7*da_pct_revenue</f>
        <v/>
      </c>
      <c r="F9" s="40">
        <f>-F7*da_pct_revenue</f>
        <v/>
      </c>
      <c r="G9" s="40">
        <f>-G7*da_pct_revenue</f>
        <v/>
      </c>
      <c r="H9" s="40">
        <f>-H7*da_pct_revenue</f>
        <v/>
      </c>
      <c r="I9" s="40">
        <f>-I7*da_pct_revenue</f>
        <v/>
      </c>
      <c r="J9" s="40">
        <f>-J7*da_pct_revenue</f>
        <v/>
      </c>
      <c r="K9" s="40">
        <f>-K7*da_pct_revenue</f>
        <v/>
      </c>
    </row>
    <row r="10">
      <c r="A10" s="3" t="inlineStr">
        <is>
          <t>EBIT</t>
        </is>
      </c>
      <c r="B10" s="4" t="inlineStr">
        <is>
          <t>EBIT</t>
        </is>
      </c>
      <c r="D10" s="59">
        <f>D8+D9</f>
        <v/>
      </c>
      <c r="E10" s="59">
        <f>E8+E9</f>
        <v/>
      </c>
      <c r="F10" s="59">
        <f>F8+F9</f>
        <v/>
      </c>
      <c r="G10" s="59">
        <f>G8+G9</f>
        <v/>
      </c>
      <c r="H10" s="59">
        <f>H8+H9</f>
        <v/>
      </c>
      <c r="I10" s="59">
        <f>I8+I9</f>
        <v/>
      </c>
      <c r="J10" s="59">
        <f>J8+J9</f>
        <v/>
      </c>
      <c r="K10" s="59">
        <f>K8+K9</f>
        <v/>
      </c>
    </row>
    <row r="11">
      <c r="A11" s="41" t="inlineStr">
        <is>
          <t>Tax on EBIT</t>
        </is>
      </c>
      <c r="B11" s="4" t="inlineStr">
        <is>
          <t>Imposte su EBIT</t>
        </is>
      </c>
      <c r="D11" s="40">
        <f>-MAX(D10*effective_tax_rate,0)</f>
        <v/>
      </c>
      <c r="E11" s="40">
        <f>-MAX(E10*effective_tax_rate,0)</f>
        <v/>
      </c>
      <c r="F11" s="40">
        <f>-MAX(F10*effective_tax_rate,0)</f>
        <v/>
      </c>
      <c r="G11" s="40">
        <f>-MAX(G10*effective_tax_rate,0)</f>
        <v/>
      </c>
      <c r="H11" s="40">
        <f>-MAX(H10*effective_tax_rate,0)</f>
        <v/>
      </c>
      <c r="I11" s="40">
        <f>-MAX(I10*effective_tax_rate,0)</f>
        <v/>
      </c>
      <c r="J11" s="40">
        <f>-MAX(J10*effective_tax_rate,0)</f>
        <v/>
      </c>
      <c r="K11" s="40">
        <f>-MAX(K10*effective_tax_rate,0)</f>
        <v/>
      </c>
    </row>
    <row r="12">
      <c r="A12" s="3" t="inlineStr">
        <is>
          <t>NOPAT</t>
        </is>
      </c>
      <c r="B12" s="4" t="inlineStr">
        <is>
          <t>NOPAT</t>
        </is>
      </c>
      <c r="D12" s="40">
        <f>D10+D11</f>
        <v/>
      </c>
      <c r="E12" s="40">
        <f>E10+E11</f>
        <v/>
      </c>
      <c r="F12" s="40">
        <f>F10+F11</f>
        <v/>
      </c>
      <c r="G12" s="40">
        <f>G10+G11</f>
        <v/>
      </c>
      <c r="H12" s="40">
        <f>H10+H11</f>
        <v/>
      </c>
      <c r="I12" s="40">
        <f>I10+I11</f>
        <v/>
      </c>
      <c r="J12" s="40">
        <f>J10+J11</f>
        <v/>
      </c>
      <c r="K12" s="40">
        <f>K10+K11</f>
        <v/>
      </c>
    </row>
    <row r="13">
      <c r="A13" s="41" t="inlineStr">
        <is>
          <t>+ D&amp;A addback</t>
        </is>
      </c>
      <c r="B13" s="4" t="inlineStr">
        <is>
          <t>+ A&amp;A</t>
        </is>
      </c>
      <c r="D13" s="40">
        <f>-D9</f>
        <v/>
      </c>
      <c r="E13" s="40">
        <f>-E9</f>
        <v/>
      </c>
      <c r="F13" s="40">
        <f>-F9</f>
        <v/>
      </c>
      <c r="G13" s="40">
        <f>-G9</f>
        <v/>
      </c>
      <c r="H13" s="40">
        <f>-H9</f>
        <v/>
      </c>
      <c r="I13" s="40">
        <f>-I9</f>
        <v/>
      </c>
      <c r="J13" s="40">
        <f>-J9</f>
        <v/>
      </c>
      <c r="K13" s="40">
        <f>-K9</f>
        <v/>
      </c>
    </row>
    <row r="14">
      <c r="A14" s="41" t="inlineStr">
        <is>
          <t>Capex</t>
        </is>
      </c>
      <c r="B14" s="4" t="inlineStr">
        <is>
          <t>Capex</t>
        </is>
      </c>
      <c r="D14" s="40">
        <f>-D7*capex_pct_revenue</f>
        <v/>
      </c>
      <c r="E14" s="40">
        <f>-E7*capex_pct_revenue</f>
        <v/>
      </c>
      <c r="F14" s="40">
        <f>-F7*capex_pct_revenue</f>
        <v/>
      </c>
      <c r="G14" s="40">
        <f>-G7*capex_pct_revenue</f>
        <v/>
      </c>
      <c r="H14" s="40">
        <f>-H7*capex_pct_revenue</f>
        <v/>
      </c>
      <c r="I14" s="40">
        <f>-I7*capex_pct_revenue</f>
        <v/>
      </c>
      <c r="J14" s="40">
        <f>-J7*capex_pct_revenue</f>
        <v/>
      </c>
      <c r="K14" s="40">
        <f>-K7*capex_pct_revenue</f>
        <v/>
      </c>
    </row>
    <row r="15">
      <c r="A15" s="41" t="inlineStr">
        <is>
          <t>Δ Working capital</t>
        </is>
      </c>
      <c r="B15" s="4" t="inlineStr">
        <is>
          <t>Δ Capitale circolante</t>
        </is>
      </c>
      <c r="D15" s="40" t="n">
        <v>0</v>
      </c>
      <c r="E15" s="40">
        <f>-(E7-D7)*nwc_pct_revenue_delta</f>
        <v/>
      </c>
      <c r="F15" s="40">
        <f>-(F7-E7)*nwc_pct_revenue_delta</f>
        <v/>
      </c>
      <c r="G15" s="40">
        <f>-(G7-F7)*nwc_pct_revenue_delta</f>
        <v/>
      </c>
      <c r="H15" s="40">
        <f>-(H7-G7)*nwc_pct_revenue_delta</f>
        <v/>
      </c>
      <c r="I15" s="40">
        <f>-(I7-H7)*nwc_pct_revenue_delta</f>
        <v/>
      </c>
      <c r="J15" s="40">
        <f>-(J7-I7)*nwc_pct_revenue_delta</f>
        <v/>
      </c>
      <c r="K15" s="40">
        <f>-(K7-J7)*nwc_pct_revenue_delta</f>
        <v/>
      </c>
    </row>
    <row r="16">
      <c r="A16" s="3" t="inlineStr">
        <is>
          <t>Unlevered FCF</t>
        </is>
      </c>
      <c r="B16" s="4" t="inlineStr">
        <is>
          <t>FCF unlevered</t>
        </is>
      </c>
      <c r="D16" s="64">
        <f>D12+D13+D14+D15</f>
        <v/>
      </c>
      <c r="E16" s="64">
        <f>E12+E13+E14+E15</f>
        <v/>
      </c>
      <c r="F16" s="64">
        <f>F12+F13+F14+F15</f>
        <v/>
      </c>
      <c r="G16" s="64">
        <f>G12+G13+G14+G15</f>
        <v/>
      </c>
      <c r="H16" s="64">
        <f>H12+H13+H14+H15</f>
        <v/>
      </c>
      <c r="I16" s="64">
        <f>I12+I13+I14+I15</f>
        <v/>
      </c>
      <c r="J16" s="64">
        <f>J12+J13+J14+J15</f>
        <v/>
      </c>
      <c r="K16" s="64">
        <f>K12+K13+K14+K15</f>
        <v/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34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Valuation</t>
        </is>
      </c>
      <c r="B1" s="2" t="inlineStr">
        <is>
          <t>Valutazione</t>
        </is>
      </c>
    </row>
    <row r="2">
      <c r="A2" s="2" t="inlineStr">
        <is>
          <t>DCF Gordon / Exit Multiple — pick one via terminal_method_choice</t>
        </is>
      </c>
    </row>
    <row r="5">
      <c r="A5" s="3" t="inlineStr">
        <is>
          <t>Explicit-period PV of FCF</t>
        </is>
      </c>
      <c r="B5" s="4" t="inlineStr">
        <is>
          <t>VAN FCF esplicito</t>
        </is>
      </c>
      <c r="D5" s="65">
        <f>'FCFForecast'!G16/(1+wacc_rate)^1.0+'FCFForecast'!H16/(1+wacc_rate)^2.0+'FCFForecast'!I16/(1+wacc_rate)^3.0+'FCFForecast'!J16/(1+wacc_rate)^4.0+'FCFForecast'!K16/(1+wacc_rate)^5.0</f>
        <v/>
      </c>
    </row>
    <row r="6">
      <c r="A6" s="3" t="inlineStr">
        <is>
          <t>Terminal year NOPAT (from explicit)</t>
        </is>
      </c>
      <c r="B6" s="4" t="inlineStr">
        <is>
          <t>NOPAT terminale</t>
        </is>
      </c>
      <c r="D6" s="66">
        <f>'FCFForecast'!K12</f>
        <v/>
      </c>
    </row>
    <row r="7">
      <c r="A7" s="3" t="inlineStr">
        <is>
          <t>Normalized terminal Δ NWC (grown at g)</t>
        </is>
      </c>
      <c r="B7" s="4" t="inlineStr">
        <is>
          <t>Δ CCN terminale normalizzato</t>
        </is>
      </c>
      <c r="D7" s="66">
        <f>'FCFForecast'!K15*(1+terminal_growth_pct)</f>
        <v/>
      </c>
    </row>
    <row r="8">
      <c r="A8" s="3" t="inlineStr">
        <is>
          <t>Normalized terminal FCF (capex = D&amp;A steady state)</t>
        </is>
      </c>
      <c r="B8" s="4" t="inlineStr">
        <is>
          <t>FCF terminale normalizzato (capex = A&amp;A)</t>
        </is>
      </c>
      <c r="D8" s="59">
        <f>D6+D7</f>
        <v/>
      </c>
    </row>
    <row r="9">
      <c r="A9" s="3" t="inlineStr">
        <is>
          <t>Terminal value — Gordon growth (normalized)</t>
        </is>
      </c>
      <c r="B9" s="4" t="inlineStr">
        <is>
          <t>Terminal value — Gordon (norm.)</t>
        </is>
      </c>
      <c r="D9" s="40">
        <f>D8*(1+terminal_growth_pct)/(wacc_rate-terminal_growth_pct)</f>
        <v/>
      </c>
    </row>
    <row r="10">
      <c r="A10" s="3" t="inlineStr">
        <is>
          <t>Terminal value — exit EV/EBITDA</t>
        </is>
      </c>
      <c r="B10" s="4" t="inlineStr">
        <is>
          <t>Terminal value — EV/EBITDA uscita</t>
        </is>
      </c>
      <c r="D10" s="66">
        <f>'FCFForecast'!K8*exit_ev_ebitda_x</f>
        <v/>
      </c>
    </row>
    <row r="11">
      <c r="A11" s="3" t="inlineStr">
        <is>
          <t>Implied g (closed-form) — terminal (from exit multiple)</t>
        </is>
      </c>
      <c r="B11" s="4" t="inlineStr">
        <is>
          <t>Implied g (forma chiusa) — terminale (da multiplo uscita)</t>
        </is>
      </c>
      <c r="D11" s="33">
        <f>(wacc_rate*D10-D8)/(D10+D8)</f>
        <v/>
      </c>
    </row>
    <row r="12">
      <c r="A12" s="3" t="inlineStr">
        <is>
          <t>Terminal value — chosen</t>
        </is>
      </c>
      <c r="B12" s="4" t="inlineStr">
        <is>
          <t>Terminal value — scelto</t>
        </is>
      </c>
      <c r="D12" s="59">
        <f>IF(terminal_method_choice=2,D10,D9)</f>
        <v/>
      </c>
    </row>
    <row r="13">
      <c r="A13" s="3" t="inlineStr">
        <is>
          <t>PV of terminal value</t>
        </is>
      </c>
      <c r="B13" s="4" t="inlineStr">
        <is>
          <t>VAN del terminal value</t>
        </is>
      </c>
      <c r="D13" s="40">
        <f>D12/(1+wacc_rate)^5.0</f>
        <v/>
      </c>
    </row>
    <row r="14">
      <c r="A14" s="3" t="inlineStr">
        <is>
          <t>Enterprise Value</t>
        </is>
      </c>
      <c r="B14" s="4" t="inlineStr">
        <is>
          <t>Enterprise Value</t>
        </is>
      </c>
      <c r="D14" s="64">
        <f>D5+D13</f>
        <v/>
      </c>
    </row>
    <row r="15">
      <c r="A15" s="3" t="inlineStr">
        <is>
          <t>(−) Net debt</t>
        </is>
      </c>
      <c r="B15" s="4" t="inlineStr">
        <is>
          <t>(−) Posizione finanziaria netta</t>
        </is>
      </c>
      <c r="D15" s="40">
        <f>-net_debt_assum</f>
        <v/>
      </c>
    </row>
    <row r="16">
      <c r="A16" s="3" t="inlineStr">
        <is>
          <t>(−) Minority interest</t>
        </is>
      </c>
      <c r="B16" s="4" t="inlineStr">
        <is>
          <t>(−) Interessenze di minoranza</t>
        </is>
      </c>
      <c r="D16" s="40">
        <f>-0</f>
        <v/>
      </c>
    </row>
    <row r="17">
      <c r="A17" s="3" t="inlineStr">
        <is>
          <t>(−) Pension deficit (unfunded)</t>
        </is>
      </c>
      <c r="B17" s="4" t="inlineStr">
        <is>
          <t>(−) Deficit pensionistico</t>
        </is>
      </c>
      <c r="D17" s="40">
        <f>-0</f>
        <v/>
      </c>
    </row>
    <row r="18">
      <c r="A18" s="3" t="inlineStr">
        <is>
          <t>(−) Preferred equity</t>
        </is>
      </c>
      <c r="B18" s="4" t="inlineStr">
        <is>
          <t>(−) Azioni privilegiate</t>
        </is>
      </c>
      <c r="D18" s="40">
        <f>-0</f>
        <v/>
      </c>
    </row>
    <row r="19">
      <c r="A19" s="3" t="inlineStr">
        <is>
          <t>(−) IFRS 16 lease liability</t>
        </is>
      </c>
      <c r="B19" s="4" t="inlineStr">
        <is>
          <t>(−) Passività leasing IFRS 16</t>
        </is>
      </c>
      <c r="D19" s="40">
        <f>-0</f>
        <v/>
      </c>
    </row>
    <row r="20">
      <c r="A20" s="3" t="inlineStr">
        <is>
          <t>(+) Cross-holdings / investments at FV</t>
        </is>
      </c>
      <c r="B20" s="4" t="inlineStr">
        <is>
          <t>(+) Partecipazioni / investimenti</t>
        </is>
      </c>
      <c r="D20" s="40">
        <f>0</f>
        <v/>
      </c>
    </row>
    <row r="21">
      <c r="A21" s="3" t="inlineStr">
        <is>
          <t>Equity Value</t>
        </is>
      </c>
      <c r="B21" s="4" t="inlineStr">
        <is>
          <t>Valore equity</t>
        </is>
      </c>
      <c r="D21" s="64">
        <f>D14+D15+D16+D17+D18+D19+D20</f>
        <v/>
      </c>
    </row>
    <row r="22">
      <c r="A22" s="3" t="inlineStr">
        <is>
          <t>Implied EV / EBITDA (Y1 proj)</t>
        </is>
      </c>
      <c r="B22" s="4" t="inlineStr">
        <is>
          <t>EV/EBITDA implicito Y1</t>
        </is>
      </c>
      <c r="D22" s="67">
        <f>D14/'FCFForecast'!G8</f>
        <v/>
      </c>
    </row>
    <row r="23">
      <c r="A23" s="3" t="inlineStr">
        <is>
          <t>Implied EV</t>
        </is>
      </c>
      <c r="B23" s="4" t="inlineStr">
        <is>
          <t>EV implicito</t>
        </is>
      </c>
      <c r="D23" s="40">
        <f>D14</f>
        <v/>
      </c>
    </row>
    <row r="24">
      <c r="A24" s="3" t="inlineStr">
        <is>
          <t>Implied price per share</t>
        </is>
      </c>
      <c r="B24" s="4" t="inlineStr">
        <is>
          <t>Prezzo implicito per azione</t>
        </is>
      </c>
      <c r="D24" s="61">
        <f>D21/shares_outstanding_assum</f>
        <v/>
      </c>
    </row>
    <row r="25">
      <c r="A25" s="3" t="inlineStr">
        <is>
          <t>Current price</t>
        </is>
      </c>
      <c r="B25" s="4" t="inlineStr">
        <is>
          <t>Prezzo attuale</t>
        </is>
      </c>
      <c r="D25" s="43">
        <f>current_price_assum</f>
        <v/>
      </c>
    </row>
    <row r="26">
      <c r="A26" s="3" t="inlineStr">
        <is>
          <t>Premium / (discount) %</t>
        </is>
      </c>
      <c r="B26" s="4" t="inlineStr">
        <is>
          <t>Premio / (sconto) %</t>
        </is>
      </c>
      <c r="D26" s="33">
        <f>D24/D25-1</f>
        <v/>
      </c>
    </row>
    <row r="28">
      <c r="A28" s="3" t="inlineStr">
        <is>
          <t>Terminal method choice (1=Gordon, 2=Exit)</t>
        </is>
      </c>
      <c r="B28" s="4" t="inlineStr">
        <is>
          <t>Metodo TV (1=Gordon, 2=Exit)</t>
        </is>
      </c>
      <c r="D28" s="68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5" t="inlineStr">
        <is>
          <t>QC Checks</t>
        </is>
      </c>
    </row>
    <row r="2">
      <c r="A2" s="2" t="inlineStr">
        <is>
          <t>Controlli</t>
        </is>
      </c>
    </row>
    <row r="4">
      <c r="A4" t="inlineStr">
        <is>
          <t>ALL CHECKS PASS</t>
        </is>
      </c>
      <c r="C4" s="69">
        <f>IF(AND(C5=1,C6=1,C7=1),1,0)</f>
        <v/>
      </c>
    </row>
    <row r="5">
      <c r="A5" t="inlineStr">
        <is>
          <t>WACC positive</t>
        </is>
      </c>
      <c r="C5" s="69">
        <f>IF(wacc_rate&gt;0,1,0)</f>
        <v/>
      </c>
    </row>
    <row r="6">
      <c r="A6" t="inlineStr">
        <is>
          <t>EV positive</t>
        </is>
      </c>
      <c r="C6" s="83">
        <f>IF('Valuation'!D14&gt;0,1,0)</f>
        <v/>
      </c>
    </row>
    <row r="7">
      <c r="A7" t="inlineStr">
        <is>
          <t>Terminal g &lt; WACC</t>
        </is>
      </c>
      <c r="C7" s="69">
        <f>IF(terminal_growth_pct&lt;wacc_rate,1,0)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78" t="inlineStr">
        <is>
          <t>ModelForge MOAT — Live-Formula Verification</t>
        </is>
      </c>
    </row>
    <row r="2">
      <c r="A2" s="74" t="inlineStr">
        <is>
          <t>Workbook: dcf_industrial.xlsx</t>
        </is>
      </c>
    </row>
    <row r="3">
      <c r="A3" s="75" t="inlineStr">
        <is>
          <t>Core-output formula density: 93.0%</t>
        </is>
      </c>
    </row>
    <row r="4">
      <c r="A4" s="79" t="inlineStr">
        <is>
          <t>Overall: PASS  (4/4 gates)</t>
        </is>
      </c>
    </row>
    <row r="6">
      <c r="A6" s="80" t="inlineStr">
        <is>
          <t>Gate</t>
        </is>
      </c>
      <c r="B6" s="80" t="inlineStr">
        <is>
          <t>Verdict</t>
        </is>
      </c>
      <c r="C6" s="80" t="inlineStr">
        <is>
          <t>Metric</t>
        </is>
      </c>
      <c r="D6" s="80" t="inlineStr">
        <is>
          <t>Threshold</t>
        </is>
      </c>
      <c r="E6" s="80" t="inlineStr">
        <is>
          <t>Detail</t>
        </is>
      </c>
    </row>
    <row r="7" ht="30" customHeight="1">
      <c r="A7" s="81" t="inlineStr">
        <is>
          <t>formula_density</t>
        </is>
      </c>
      <c r="B7" s="81" t="inlineStr">
        <is>
          <t>PASS</t>
        </is>
      </c>
      <c r="C7" s="81" t="inlineStr">
        <is>
          <t>0.9298</t>
        </is>
      </c>
      <c r="D7" s="81" t="inlineStr">
        <is>
          <t>0.9000</t>
        </is>
      </c>
      <c r="E7" s="81" t="inlineStr">
        <is>
          <t>All core output sheets meet density threshold</t>
        </is>
      </c>
    </row>
    <row r="8" ht="30" customHeight="1">
      <c r="A8" s="81" t="inlineStr">
        <is>
          <t>reference_graph</t>
        </is>
      </c>
      <c r="B8" s="81" t="inlineStr">
        <is>
          <t>PASS</t>
        </is>
      </c>
      <c r="C8" s="81" t="inlineStr">
        <is>
          <t>0.00</t>
        </is>
      </c>
      <c r="D8" s="81" t="inlineStr">
        <is>
          <t>0.00</t>
        </is>
      </c>
      <c r="E8" s="81" t="inlineStr">
        <is>
          <t>No magic-number literals in output formulas</t>
        </is>
      </c>
    </row>
    <row r="9" ht="30" customHeight="1">
      <c r="A9" s="81" t="inlineStr">
        <is>
          <t>no_orphan_inputs</t>
        </is>
      </c>
      <c r="B9" s="81" t="inlineStr">
        <is>
          <t>PASS</t>
        </is>
      </c>
      <c r="C9" s="81" t="inlineStr">
        <is>
          <t>0.00</t>
        </is>
      </c>
      <c r="D9" s="81" t="inlineStr">
        <is>
          <t>5.00</t>
        </is>
      </c>
      <c r="E9" s="81" t="inlineStr">
        <is>
          <t>All defined names reachable from formulas (≤5 allowed)</t>
        </is>
      </c>
    </row>
    <row r="10" ht="30" customHeight="1">
      <c r="A10" s="81" t="inlineStr">
        <is>
          <t>recalculation</t>
        </is>
      </c>
      <c r="B10" s="81" t="inlineStr">
        <is>
          <t>PASS</t>
        </is>
      </c>
      <c r="C10" s="81" t="inlineStr">
        <is>
          <t>0.00</t>
        </is>
      </c>
      <c r="D10" s="81" t="inlineStr">
        <is>
          <t>0</t>
        </is>
      </c>
      <c r="E10" s="81" t="inlineStr">
        <is>
          <t>All formula values reconcile (tol=1e-04)</t>
        </is>
      </c>
    </row>
    <row r="12">
      <c r="A12" s="75" t="inlineStr">
        <is>
          <t>Per-sheet formula density</t>
        </is>
      </c>
    </row>
    <row r="13">
      <c r="A13" s="80" t="inlineStr">
        <is>
          <t>Sheet</t>
        </is>
      </c>
      <c r="B13" s="80" t="inlineStr">
        <is>
          <t>Class</t>
        </is>
      </c>
      <c r="C13" s="80" t="inlineStr">
        <is>
          <t>Numeric cells</t>
        </is>
      </c>
      <c r="D13" s="80" t="inlineStr">
        <is>
          <t>Formula cells</t>
        </is>
      </c>
      <c r="E13" s="80" t="inlineStr">
        <is>
          <t>Formula %</t>
        </is>
      </c>
      <c r="F13" s="80" t="inlineStr">
        <is>
          <t>Magic-number cells</t>
        </is>
      </c>
    </row>
    <row r="14">
      <c r="A14" s="82" t="inlineStr">
        <is>
          <t>RedFlags</t>
        </is>
      </c>
      <c r="B14" s="82" t="inlineStr">
        <is>
          <t>audit</t>
        </is>
      </c>
      <c r="C14" s="84" t="n">
        <v>0</v>
      </c>
      <c r="D14" s="84" t="n">
        <v>0</v>
      </c>
      <c r="E14" s="82" t="inlineStr">
        <is>
          <t>n/a</t>
        </is>
      </c>
      <c r="F14" s="84" t="n">
        <v>0</v>
      </c>
    </row>
    <row r="15">
      <c r="A15" s="82" t="inlineStr">
        <is>
          <t>Cover</t>
        </is>
      </c>
      <c r="B15" s="82" t="inlineStr">
        <is>
          <t>input</t>
        </is>
      </c>
      <c r="C15" s="84" t="n">
        <v>2</v>
      </c>
      <c r="D15" s="84" t="n">
        <v>1</v>
      </c>
      <c r="E15" s="82" t="inlineStr">
        <is>
          <t>50.0%</t>
        </is>
      </c>
      <c r="F15" s="84" t="n">
        <v>0</v>
      </c>
    </row>
    <row r="16">
      <c r="A16" s="82" t="inlineStr">
        <is>
          <t>Sources</t>
        </is>
      </c>
      <c r="B16" s="82" t="inlineStr">
        <is>
          <t>input</t>
        </is>
      </c>
      <c r="C16" s="84" t="n">
        <v>1</v>
      </c>
      <c r="D16" s="84" t="n">
        <v>0</v>
      </c>
      <c r="E16" s="82" t="inlineStr">
        <is>
          <t>0.0%</t>
        </is>
      </c>
      <c r="F16" s="84" t="n">
        <v>0</v>
      </c>
    </row>
    <row r="17">
      <c r="A17" s="82" t="inlineStr">
        <is>
          <t>Assumptions</t>
        </is>
      </c>
      <c r="B17" s="82" t="inlineStr">
        <is>
          <t>input</t>
        </is>
      </c>
      <c r="C17" s="84" t="n">
        <v>96</v>
      </c>
      <c r="D17" s="84" t="n">
        <v>24</v>
      </c>
      <c r="E17" s="82" t="inlineStr">
        <is>
          <t>25.0%</t>
        </is>
      </c>
      <c r="F17" s="84" t="n">
        <v>0</v>
      </c>
    </row>
    <row r="18">
      <c r="A18" s="82" t="inlineStr">
        <is>
          <t>ComparableBetas</t>
        </is>
      </c>
      <c r="B18" s="82" t="inlineStr">
        <is>
          <t>reference</t>
        </is>
      </c>
      <c r="C18" s="84" t="n">
        <v>0</v>
      </c>
      <c r="D18" s="84" t="n">
        <v>0</v>
      </c>
      <c r="E18" s="82" t="inlineStr">
        <is>
          <t>n/a</t>
        </is>
      </c>
      <c r="F18" s="84" t="n">
        <v>0</v>
      </c>
    </row>
    <row r="19">
      <c r="A19" s="82" t="inlineStr">
        <is>
          <t>WACCBuild</t>
        </is>
      </c>
      <c r="B19" s="82" t="inlineStr">
        <is>
          <t>core_output</t>
        </is>
      </c>
      <c r="C19" s="84" t="n">
        <v>10</v>
      </c>
      <c r="D19" s="84" t="n">
        <v>10</v>
      </c>
      <c r="E19" s="82" t="inlineStr">
        <is>
          <t>100.0%</t>
        </is>
      </c>
      <c r="F19" s="84" t="n">
        <v>0</v>
      </c>
    </row>
    <row r="20">
      <c r="A20" s="82" t="inlineStr">
        <is>
          <t>FCFForecast</t>
        </is>
      </c>
      <c r="B20" s="82" t="inlineStr">
        <is>
          <t>core_output</t>
        </is>
      </c>
      <c r="C20" s="84" t="n">
        <v>81</v>
      </c>
      <c r="D20" s="84" t="n">
        <v>74</v>
      </c>
      <c r="E20" s="82" t="inlineStr">
        <is>
          <t>91.4%</t>
        </is>
      </c>
      <c r="F20" s="84" t="n">
        <v>0</v>
      </c>
    </row>
    <row r="21">
      <c r="A21" s="82" t="inlineStr">
        <is>
          <t>Valuation</t>
        </is>
      </c>
      <c r="B21" s="82" t="inlineStr">
        <is>
          <t>core_output</t>
        </is>
      </c>
      <c r="C21" s="84" t="n">
        <v>23</v>
      </c>
      <c r="D21" s="84" t="n">
        <v>22</v>
      </c>
      <c r="E21" s="82" t="inlineStr">
        <is>
          <t>95.7%</t>
        </is>
      </c>
      <c r="F21" s="84" t="n">
        <v>0</v>
      </c>
    </row>
    <row r="22">
      <c r="A22" s="82" t="inlineStr">
        <is>
          <t>QC</t>
        </is>
      </c>
      <c r="B22" s="82" t="inlineStr">
        <is>
          <t>audit</t>
        </is>
      </c>
      <c r="C22" s="84" t="n">
        <v>4</v>
      </c>
      <c r="D22" s="84" t="n">
        <v>4</v>
      </c>
      <c r="E22" s="82" t="inlineStr">
        <is>
          <t>100.0%</t>
        </is>
      </c>
      <c r="F22" s="84" t="n">
        <v>0</v>
      </c>
    </row>
    <row r="23">
      <c r="A23" s="82" t="inlineStr">
        <is>
          <t>ComplianceCheck</t>
        </is>
      </c>
      <c r="B23" s="82" t="inlineStr">
        <is>
          <t>audit</t>
        </is>
      </c>
      <c r="C23" s="84" t="n">
        <v>13</v>
      </c>
      <c r="D23" s="84" t="n">
        <v>5</v>
      </c>
      <c r="E23" s="82" t="inlineStr">
        <is>
          <t>38.5%</t>
        </is>
      </c>
      <c r="F23" s="84" t="n">
        <v>0</v>
      </c>
    </row>
    <row r="24">
      <c r="A24" s="82" t="inlineStr">
        <is>
          <t>SensitivityAnalysis</t>
        </is>
      </c>
      <c r="B24" s="82" t="inlineStr">
        <is>
          <t>audit</t>
        </is>
      </c>
      <c r="C24" s="84" t="n">
        <v>129</v>
      </c>
      <c r="D24" s="84" t="n">
        <v>107</v>
      </c>
      <c r="E24" s="82" t="inlineStr">
        <is>
          <t>82.9%</t>
        </is>
      </c>
      <c r="F24" s="84" t="n">
        <v>0</v>
      </c>
    </row>
    <row r="25">
      <c r="A25" s="82" t="inlineStr">
        <is>
          <t>MonteCarlo</t>
        </is>
      </c>
      <c r="B25" s="82" t="inlineStr">
        <is>
          <t>simulation</t>
        </is>
      </c>
      <c r="C25" s="84" t="n">
        <v>115</v>
      </c>
      <c r="D25" s="84" t="n">
        <v>15</v>
      </c>
      <c r="E25" s="82" t="inlineStr">
        <is>
          <t>13.0%</t>
        </is>
      </c>
      <c r="F25" s="84" t="n">
        <v>0</v>
      </c>
    </row>
    <row r="26">
      <c r="A26" s="82" t="inlineStr">
        <is>
          <t>Reproducibility</t>
        </is>
      </c>
      <c r="B26" s="82" t="inlineStr">
        <is>
          <t>audit</t>
        </is>
      </c>
      <c r="C26" s="84" t="n">
        <v>1</v>
      </c>
      <c r="D26" s="84" t="n">
        <v>1</v>
      </c>
      <c r="E26" s="82" t="inlineStr">
        <is>
          <t>100.0%</t>
        </is>
      </c>
      <c r="F26" s="8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3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Compliance Check</t>
        </is>
      </c>
      <c r="B1" s="2" t="inlineStr">
        <is>
          <t>Controllo di conformità</t>
        </is>
      </c>
    </row>
    <row r="2">
      <c r="A2" s="2" t="inlineStr">
        <is>
          <t>AIFMD II / IFRS 9 / Basel III-IV / GACS — Italian &amp; EU regulatory plumbing</t>
        </is>
      </c>
    </row>
    <row r="5">
      <c r="A5" s="7" t="inlineStr">
        <is>
          <t>AIFMD II leverage &amp; concentration</t>
        </is>
      </c>
      <c r="B5" s="8" t="inlineStr">
        <is>
          <t>AIFMD II leva &amp; concentrazione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13" t="inlineStr">
        <is>
          <t>AIF type (open/closed)</t>
        </is>
      </c>
      <c r="B6" s="2" t="inlineStr">
        <is>
          <t>Tipo AIF</t>
        </is>
      </c>
      <c r="D6" s="28" t="inlineStr">
        <is>
          <t>closed</t>
        </is>
      </c>
    </row>
    <row r="7">
      <c r="A7" s="13" t="inlineStr">
        <is>
          <t>AIFMD II leverage cap — open-ended</t>
        </is>
      </c>
      <c r="B7" s="2" t="inlineStr">
        <is>
          <t>Limite leva AIFMD II — aperto</t>
        </is>
      </c>
      <c r="D7" s="44" t="n">
        <v>1.75</v>
      </c>
    </row>
    <row r="8">
      <c r="A8" s="13" t="inlineStr">
        <is>
          <t>AIFMD II leverage cap — closed-ended</t>
        </is>
      </c>
      <c r="B8" s="2" t="inlineStr">
        <is>
          <t>Limite leva AIFMD II — chiuso</t>
        </is>
      </c>
      <c r="D8" s="44" t="n">
        <v>3</v>
      </c>
    </row>
    <row r="9">
      <c r="A9" s="13" t="inlineStr">
        <is>
          <t>AIFMD II leverage cap (applied)</t>
        </is>
      </c>
      <c r="B9" s="2" t="inlineStr">
        <is>
          <t>Limite AIFMD II (applicato)</t>
        </is>
      </c>
      <c r="D9" s="33">
        <f>IF($D$6="open",aif_leverage_cap_open,aif_leverage_cap_closed)</f>
        <v/>
      </c>
    </row>
    <row r="10">
      <c r="A10" s="13" t="inlineStr">
        <is>
          <t>Actual portfolio leverage</t>
        </is>
      </c>
      <c r="B10" s="2" t="inlineStr">
        <is>
          <t>Leva effettiva</t>
        </is>
      </c>
      <c r="D10" s="44" t="n">
        <v>1.5</v>
      </c>
    </row>
    <row r="11">
      <c r="A11" s="17" t="inlineStr">
        <is>
          <t>AIFMD II leverage compliance</t>
        </is>
      </c>
      <c r="D11" s="70">
        <f>IF(aif_actual_leverage&lt;=$D$9,"PASS","FAIL")</f>
        <v/>
      </c>
    </row>
    <row r="13">
      <c r="A13" s="13" t="inlineStr">
        <is>
          <t>Largest single borrower % NAV</t>
        </is>
      </c>
      <c r="B13" s="2" t="inlineStr">
        <is>
          <t>Maggior debitore % NAV</t>
        </is>
      </c>
      <c r="D13" s="44" t="n">
        <v>0.15</v>
      </c>
    </row>
    <row r="14">
      <c r="A14" s="13" t="inlineStr">
        <is>
          <t>AIFMD II single-borrower cap</t>
        </is>
      </c>
      <c r="B14" s="2" t="inlineStr">
        <is>
          <t>Limite singolo debitore</t>
        </is>
      </c>
      <c r="D14" s="44" t="n">
        <v>0.2</v>
      </c>
    </row>
    <row r="15">
      <c r="A15" s="17" t="inlineStr">
        <is>
          <t>Single-borrower compliance</t>
        </is>
      </c>
      <c r="D15" s="59">
        <f>IF(aif_largest_single_borrower_pct_nav&lt;=aif_single_borrower_cap,"PASS","FAIL")</f>
        <v/>
      </c>
    </row>
    <row r="17">
      <c r="A17" s="7" t="inlineStr">
        <is>
          <t>Loan-originating AIF status</t>
        </is>
      </c>
      <c r="B17" s="8" t="inlineStr">
        <is>
          <t>Classificazione AIF con origination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13" t="inlineStr">
        <is>
          <t>Originated loans % NAV</t>
        </is>
      </c>
      <c r="B18" s="2" t="inlineStr">
        <is>
          <t>Prestiti originati % NAV</t>
        </is>
      </c>
      <c r="D18" s="44" t="n">
        <v>0.55</v>
      </c>
    </row>
    <row r="19">
      <c r="A19" s="17" t="inlineStr">
        <is>
          <t>Loan-originating AIF flag</t>
        </is>
      </c>
      <c r="D19" s="59">
        <f>IF($D$18&gt;=0.50,"YES — closed-ended required if &gt;60%","NO")</f>
        <v/>
      </c>
    </row>
    <row r="21">
      <c r="A21" s="7" t="inlineStr">
        <is>
          <t>IFRS 9 three-stage ECL</t>
        </is>
      </c>
      <c r="B21" s="8" t="inlineStr">
        <is>
          <t>IFRS 9 modello a tre stadi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17" t="inlineStr">
        <is>
          <t>ECL formula (canonical): ECL = PD × LGD × EAD × DF</t>
        </is>
      </c>
      <c r="B22" s="2" t="inlineStr">
        <is>
          <t>Formula ECL: PD × LGD × EAD × Fattore sconto</t>
        </is>
      </c>
    </row>
    <row r="23">
      <c r="A23" s="2" t="inlineStr">
        <is>
          <t xml:space="preserve">  where PD = probability of default, LGD = loss given default, EAD = exposure at default, DF = discount factor</t>
        </is>
      </c>
    </row>
    <row r="25">
      <c r="A25" s="13" t="inlineStr">
        <is>
          <t>Stage 1 (12-month ECL — no SICR)</t>
        </is>
      </c>
      <c r="B25" s="2" t="inlineStr">
        <is>
          <t>Stadio 1 (ECL 12m — no SICR)</t>
        </is>
      </c>
      <c r="D25" s="2" t="inlineStr">
        <is>
          <t>12m PD × LGD × EAD × DF</t>
        </is>
      </c>
    </row>
    <row r="26">
      <c r="A26" s="13" t="inlineStr">
        <is>
          <t>Stage 2 (Lifetime ECL — SICR triggered)</t>
        </is>
      </c>
      <c r="B26" s="2" t="inlineStr">
        <is>
          <t>Stadio 2 (ECL lifetime — SICR)</t>
        </is>
      </c>
      <c r="D26" s="2" t="inlineStr">
        <is>
          <t>Lifetime PD × LGD × EAD × DF | 30+DPD backstop</t>
        </is>
      </c>
    </row>
    <row r="27">
      <c r="A27" s="13" t="inlineStr">
        <is>
          <t>Stage 3 (Lifetime ECL — credit-impaired)</t>
        </is>
      </c>
      <c r="B27" s="2" t="inlineStr">
        <is>
          <t>Stadio 3 (ECL lifetime — impaired)</t>
        </is>
      </c>
      <c r="D27" s="2" t="inlineStr">
        <is>
          <t>PD 100% × LGD × EAD × DF | interest on NET</t>
        </is>
      </c>
    </row>
    <row r="29">
      <c r="A29" s="17" t="inlineStr">
        <is>
          <t>SICR triggers (document bank policy)</t>
        </is>
      </c>
    </row>
    <row r="30">
      <c r="A30" s="2" t="inlineStr">
        <is>
          <t xml:space="preserve">  • Absolute PD threshold breach</t>
        </is>
      </c>
    </row>
    <row r="31">
      <c r="A31" s="2" t="inlineStr">
        <is>
          <t xml:space="preserve">  • Relative PD doubling vs origination</t>
        </is>
      </c>
    </row>
    <row r="32">
      <c r="A32" s="2" t="inlineStr">
        <is>
          <t xml:space="preserve">  • Rating downgrade by ≥2 notches</t>
        </is>
      </c>
    </row>
    <row r="33">
      <c r="A33" s="2" t="inlineStr">
        <is>
          <t xml:space="preserve">  • Watchlist flag</t>
        </is>
      </c>
    </row>
    <row r="34">
      <c r="A34" s="2" t="inlineStr">
        <is>
          <t xml:space="preserve">  • Forbearance granted</t>
        </is>
      </c>
    </row>
    <row r="35">
      <c r="A35" s="2" t="inlineStr">
        <is>
          <t xml:space="preserve">  • 30+ days past due (DPD) presumption</t>
        </is>
      </c>
    </row>
    <row r="37">
      <c r="A37" s="7" t="inlineStr">
        <is>
          <t>Basel NPL calendar provisioning</t>
        </is>
      </c>
      <c r="B37" s="8" t="inlineStr">
        <is>
          <t>Calendar provisioning NPL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13" t="inlineStr">
        <is>
          <t>Regulation (EU) 2019/630 — NPL minimum coverage</t>
        </is>
      </c>
    </row>
    <row r="39">
      <c r="A39" s="13" t="inlineStr">
        <is>
          <t xml:space="preserve">  • Unsecured NPEs</t>
        </is>
      </c>
      <c r="B39" s="2" t="inlineStr">
        <is>
          <t>NPE non garantite</t>
        </is>
      </c>
      <c r="D39" s="2" t="inlineStr">
        <is>
          <t>0% / 35% / 100% (Y1-2 / Y3 / Y3+)</t>
        </is>
      </c>
    </row>
    <row r="40">
      <c r="A40" s="13" t="inlineStr">
        <is>
          <t xml:space="preserve">  • NPEs secured by real estate</t>
        </is>
      </c>
      <c r="B40" s="2" t="inlineStr">
        <is>
          <t>NPE garantite da immobili</t>
        </is>
      </c>
      <c r="D40" s="2" t="inlineStr">
        <is>
          <t>0% / 25% / 70% / 100% (Y1-4 / Y5 / Y7 / Y9+)</t>
        </is>
      </c>
    </row>
    <row r="41">
      <c r="A41" s="13" t="inlineStr">
        <is>
          <t xml:space="preserve">  • NPEs secured by other collateral</t>
        </is>
      </c>
      <c r="B41" s="2" t="inlineStr">
        <is>
          <t>NPE garantite altro</t>
        </is>
      </c>
      <c r="D41" s="2" t="inlineStr">
        <is>
          <t>0% / 35% / 70% / 100% (Y1-2 / Y3 / Y4 / Y7+)</t>
        </is>
      </c>
    </row>
    <row r="42">
      <c r="A42" t="inlineStr"/>
    </row>
    <row r="44">
      <c r="A44" s="7" t="inlineStr">
        <is>
          <t>GACS (Garanzia Cartolarizzazione Sofferenze)</t>
        </is>
      </c>
      <c r="B44" s="8" t="inlineStr">
        <is>
          <t>GACS — Garanzia stato su senior NPL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13" t="inlineStr">
        <is>
          <t xml:space="preserve">  • Senior tranche rating ≥ BBB-</t>
        </is>
      </c>
      <c r="B45" s="2" t="inlineStr">
        <is>
          <t>Rating senior ≥ investment grade</t>
        </is>
      </c>
      <c r="D45" s="2" t="inlineStr">
        <is>
          <t>BBB</t>
        </is>
      </c>
    </row>
    <row r="46">
      <c r="A46" s="13" t="inlineStr">
        <is>
          <t xml:space="preserve">  • Legge 130/1999 SPV (bankruptcy-remote)</t>
        </is>
      </c>
      <c r="B46" s="2" t="inlineStr">
        <is>
          <t>SPV legge 130/1999</t>
        </is>
      </c>
      <c r="D46" s="2" t="inlineStr">
        <is>
          <t>YES (required)</t>
        </is>
      </c>
    </row>
    <row r="47">
      <c r="A47" s="13" t="inlineStr">
        <is>
          <t xml:space="preserve">  • Guarantee fee priced on IT financial CDS</t>
        </is>
      </c>
      <c r="B47" s="2" t="inlineStr">
        <is>
          <t>Fee garanzia su CDS finanziari italiani</t>
        </is>
      </c>
      <c r="D47" s="2" t="inlineStr">
        <is>
          <t>IT Italian financial-sector CDS basket (5Y)</t>
        </is>
      </c>
    </row>
    <row r="48">
      <c r="A48" s="13" t="inlineStr">
        <is>
          <t xml:space="preserve">  • Servicer fit-and-proper (Banca d'Italia)</t>
        </is>
      </c>
      <c r="B48" s="2" t="inlineStr">
        <is>
          <t>Servicer requisiti</t>
        </is>
      </c>
      <c r="D48" s="2" t="inlineStr">
        <is>
          <t>Required</t>
        </is>
      </c>
    </row>
    <row r="50">
      <c r="A50" s="7" t="inlineStr">
        <is>
          <t>Italian tax — IRES + IRAP split</t>
        </is>
      </c>
      <c r="B50" s="8" t="inlineStr">
        <is>
          <t>Tassazione italiana — IRES + IRAP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13" t="inlineStr">
        <is>
          <t>IRES rate</t>
        </is>
      </c>
      <c r="B51" s="2" t="inlineStr">
        <is>
          <t>Aliquota IRES</t>
        </is>
      </c>
      <c r="D51" s="44" t="n">
        <v>0.24</v>
      </c>
    </row>
    <row r="52">
      <c r="A52" s="13" t="inlineStr">
        <is>
          <t>IRAP rate (national base + regional)</t>
        </is>
      </c>
      <c r="B52" s="2" t="inlineStr">
        <is>
          <t>Aliquota IRAP</t>
        </is>
      </c>
      <c r="D52" s="44" t="n">
        <v>0.039</v>
      </c>
    </row>
    <row r="53">
      <c r="A53" s="17" t="inlineStr">
        <is>
          <t>IRES+IRAP combined (approximate)</t>
        </is>
      </c>
      <c r="B53" s="2" t="inlineStr">
        <is>
          <t>IRES+IRAP combinate (stima)</t>
        </is>
      </c>
      <c r="D53" s="62">
        <f>tax_ires_rate+tax_irap_rate</f>
        <v/>
      </c>
    </row>
    <row r="56">
      <c r="A56" s="7" t="inlineStr">
        <is>
          <t>Basel III/IV securitization capital (SEC-SA / SEC-IRBA / SEC-ERBA)</t>
        </is>
      </c>
      <c r="B56" s="8" t="inlineStr">
        <is>
          <t>Capitale Basel su cartolarizzazioni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17" t="inlineStr">
        <is>
          <t>Framework hierarchy (BCBS d374 / CRR Art. 254)</t>
        </is>
      </c>
      <c r="B57" s="2" t="inlineStr">
        <is>
          <t>Gerarchia framework</t>
        </is>
      </c>
    </row>
    <row r="58">
      <c r="A58" s="13" t="inlineStr">
        <is>
          <t xml:space="preserve">  • SEC-IRBA (internal ratings-based)</t>
        </is>
      </c>
      <c r="B58" s="2" t="inlineStr">
        <is>
          <t>Banca IRB con rating interni</t>
        </is>
      </c>
      <c r="D58" s="2" t="inlineStr">
        <is>
          <t>Priority 1 — required if bank has IRB approval for underlying</t>
        </is>
      </c>
    </row>
    <row r="59">
      <c r="A59" s="13" t="inlineStr">
        <is>
          <t xml:space="preserve">  • SEC-ERBA (external ratings-based)</t>
        </is>
      </c>
      <c r="B59" s="2" t="inlineStr">
        <is>
          <t>Basato su rating esterni</t>
        </is>
      </c>
      <c r="D59" s="2" t="inlineStr">
        <is>
          <t>Priority 2 — used when ECAI rating available on tranche</t>
        </is>
      </c>
    </row>
    <row r="60">
      <c r="A60" s="13" t="inlineStr">
        <is>
          <t xml:space="preserve">  • SEC-SA (standardised approach)</t>
        </is>
      </c>
      <c r="B60" s="2" t="inlineStr">
        <is>
          <t>Approccio standard</t>
        </is>
      </c>
      <c r="D60" s="2" t="inlineStr">
        <is>
          <t>Priority 3 — fallback; Kirb-based look-through formula</t>
        </is>
      </c>
    </row>
    <row r="61">
      <c r="A61" s="13" t="inlineStr">
        <is>
          <t xml:space="preserve">  • Risk-weight floor (all approaches)</t>
        </is>
      </c>
      <c r="B61" s="2" t="inlineStr">
        <is>
          <t>Floor ponderazione</t>
        </is>
      </c>
      <c r="D61" s="2" t="inlineStr">
        <is>
          <t>15% minimum on senior; 100% on mezz; 1,250% on equity/residual</t>
        </is>
      </c>
    </row>
    <row r="62">
      <c r="A62" s="13" t="inlineStr">
        <is>
          <t xml:space="preserve">  • Output floor (Basel IV)</t>
        </is>
      </c>
      <c r="B62" s="2" t="inlineStr">
        <is>
          <t>Output floor Basel IV</t>
        </is>
      </c>
      <c r="D62" s="2" t="inlineStr">
        <is>
          <t>72.5% of SA by 2028 (phased from 50% in 2022)</t>
        </is>
      </c>
    </row>
    <row r="63">
      <c r="A63" s="13" t="inlineStr">
        <is>
          <t xml:space="preserve">  • STS qualifying (Reg. EU 2017/2402)</t>
        </is>
      </c>
      <c r="B63" s="2" t="inlineStr">
        <is>
          <t>STS conforme</t>
        </is>
      </c>
      <c r="D63" s="2" t="inlineStr">
        <is>
          <t>Simple / Transparent / Standardised — reduced RW</t>
        </is>
      </c>
    </row>
    <row r="64">
      <c r="A6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15" t="inlineStr">
        <is>
          <t>Sensitivity Analysis</t>
        </is>
      </c>
    </row>
    <row r="2">
      <c r="A2" s="2" t="inlineStr">
        <is>
          <t>Analisi di sensibilità</t>
        </is>
      </c>
    </row>
    <row r="3">
      <c r="A3" s="37" t="inlineStr">
        <is>
          <t>ACTIVE SCENARIO →</t>
        </is>
      </c>
      <c r="B3" s="38" t="inlineStr">
        <is>
          <t>SCENARIO ATTIVO →</t>
        </is>
      </c>
      <c r="C3" s="63">
        <f>CHOOSE(scenario_index,"WORST","BASE","BEST")</f>
        <v/>
      </c>
    </row>
    <row r="4">
      <c r="A4" s="51" t="inlineStr">
        <is>
          <t>LIVE — linear-elasticity approximation off primary_output. Recomputes when you change scenario_index or edit a driver/shock. Exact non-linear recompute via the `modelforge` CLI / dossier.  |  LIVE — approssimazione a elasticità lineare su primary_output. Si ricalcola quando cambi scenario_index o modifichi un driver/shock. Ricalcolo esatto non lineare tramite la CLI `modelforge` / dossier.</t>
        </is>
      </c>
    </row>
    <row r="5">
      <c r="A5" s="17" t="inlineStr">
        <is>
          <t>Primary output</t>
        </is>
      </c>
      <c r="B5" s="17" t="inlineStr">
        <is>
          <t>Implied EV</t>
        </is>
      </c>
      <c r="D5" s="62">
        <f>primary_output</f>
        <v/>
      </c>
    </row>
    <row r="6">
      <c r="A6" s="17" t="inlineStr">
        <is>
          <t>Factors analyzed</t>
        </is>
      </c>
      <c r="D6" s="71" t="n">
        <v>7</v>
      </c>
    </row>
    <row r="8">
      <c r="J8" s="47" t="inlineStr">
        <is>
          <t>Method: LIVE elasticity formula (exact non-linear Δ via CLI/dossier)</t>
        </is>
      </c>
    </row>
    <row r="9">
      <c r="A9" s="12" t="inlineStr">
        <is>
          <t>ID</t>
        </is>
      </c>
      <c r="B9" s="12" t="inlineStr">
        <is>
          <t>Factor</t>
        </is>
      </c>
      <c r="C9" s="12" t="inlineStr">
        <is>
          <t>Driver</t>
        </is>
      </c>
      <c r="D9" s="12" t="inlineStr">
        <is>
          <t>Base</t>
        </is>
      </c>
      <c r="E9" s="12" t="inlineStr">
        <is>
          <t>Low shk</t>
        </is>
      </c>
      <c r="F9" s="12" t="inlineStr">
        <is>
          <t>High shk</t>
        </is>
      </c>
      <c r="G9" s="12" t="inlineStr">
        <is>
          <t>Elast.</t>
        </is>
      </c>
      <c r="H9" s="12" t="inlineStr">
        <is>
          <t>Low value</t>
        </is>
      </c>
      <c r="I9" s="12" t="inlineStr">
        <is>
          <t>High value</t>
        </is>
      </c>
      <c r="J9" s="12" t="inlineStr">
        <is>
          <t>Low Δ</t>
        </is>
      </c>
      <c r="K9" s="12" t="inlineStr">
        <is>
          <t>High Δ</t>
        </is>
      </c>
    </row>
    <row r="10">
      <c r="A10" s="17" t="inlineStr">
        <is>
          <t>F-001</t>
        </is>
      </c>
      <c r="B10" s="48" t="inlineStr">
        <is>
          <t>Revenue growth Y1 ±20%</t>
        </is>
      </c>
      <c r="C10" s="19" t="inlineStr">
        <is>
          <t>revenue_growth_y1</t>
        </is>
      </c>
      <c r="D10" s="40">
        <f>revenue_growth_y1</f>
        <v/>
      </c>
      <c r="E10" s="20" t="n">
        <v>-0.2</v>
      </c>
      <c r="F10" s="20" t="n">
        <v>0.2</v>
      </c>
      <c r="G10" s="25" t="n">
        <v>0.8</v>
      </c>
      <c r="H10" s="72">
        <f>D10*(1+E10)</f>
        <v/>
      </c>
      <c r="I10" s="72">
        <f>D10*(1+F10)</f>
        <v/>
      </c>
      <c r="J10" s="33">
        <f>primary_output*E10*G10</f>
        <v/>
      </c>
      <c r="K10" s="33">
        <f>primary_output*F10*G10</f>
        <v/>
      </c>
    </row>
    <row r="11">
      <c r="A11" s="17" t="inlineStr">
        <is>
          <t>F-002</t>
        </is>
      </c>
      <c r="B11" s="48" t="inlineStr">
        <is>
          <t>EBITDA margin Y1 ±25%</t>
        </is>
      </c>
      <c r="C11" s="19" t="inlineStr">
        <is>
          <t>ebitda_margin_y1</t>
        </is>
      </c>
      <c r="D11" s="40">
        <f>ebitda_margin_y1</f>
        <v/>
      </c>
      <c r="E11" s="20" t="n">
        <v>-0.25</v>
      </c>
      <c r="F11" s="20" t="n">
        <v>0.25</v>
      </c>
      <c r="G11" s="25" t="n">
        <v>0.9</v>
      </c>
      <c r="H11" s="72">
        <f>D11*(1+E11)</f>
        <v/>
      </c>
      <c r="I11" s="72">
        <f>D11*(1+F11)</f>
        <v/>
      </c>
      <c r="J11" s="33">
        <f>primary_output*E11*G11</f>
        <v/>
      </c>
      <c r="K11" s="33">
        <f>primary_output*F11*G11</f>
        <v/>
      </c>
    </row>
    <row r="12">
      <c r="A12" s="17" t="inlineStr">
        <is>
          <t>F-003</t>
        </is>
      </c>
      <c r="B12" s="48" t="inlineStr">
        <is>
          <t>Capex % revenue ±20%</t>
        </is>
      </c>
      <c r="C12" s="19" t="inlineStr">
        <is>
          <t>capex_pct_revenue</t>
        </is>
      </c>
      <c r="D12" s="40">
        <f>capex_pct_revenue</f>
        <v/>
      </c>
      <c r="E12" s="20" t="n">
        <v>-0.2</v>
      </c>
      <c r="F12" s="20" t="n">
        <v>0.2</v>
      </c>
      <c r="G12" s="25" t="n">
        <v>-0.4</v>
      </c>
      <c r="H12" s="72">
        <f>D12*(1+E12)</f>
        <v/>
      </c>
      <c r="I12" s="72">
        <f>D12*(1+F12)</f>
        <v/>
      </c>
      <c r="J12" s="33">
        <f>primary_output*E12*G12</f>
        <v/>
      </c>
      <c r="K12" s="33">
        <f>primary_output*F12*G12</f>
        <v/>
      </c>
    </row>
    <row r="13">
      <c r="A13" s="17" t="inlineStr">
        <is>
          <t>F-004</t>
        </is>
      </c>
      <c r="B13" s="48" t="inlineStr">
        <is>
          <t>Terminal growth ±50bps</t>
        </is>
      </c>
      <c r="C13" s="19" t="inlineStr">
        <is>
          <t>terminal_growth_pct</t>
        </is>
      </c>
      <c r="D13" s="40">
        <f>terminal_growth_pct</f>
        <v/>
      </c>
      <c r="E13" s="20" t="n">
        <v>-0.5</v>
      </c>
      <c r="F13" s="20" t="n">
        <v>0.5</v>
      </c>
      <c r="G13" s="25" t="n">
        <v>0.45</v>
      </c>
      <c r="H13" s="72">
        <f>D13*(1+E13)</f>
        <v/>
      </c>
      <c r="I13" s="72">
        <f>D13*(1+F13)</f>
        <v/>
      </c>
      <c r="J13" s="33">
        <f>primary_output*E13*G13</f>
        <v/>
      </c>
      <c r="K13" s="33">
        <f>primary_output*F13*G13</f>
        <v/>
      </c>
    </row>
    <row r="14">
      <c r="A14" s="17" t="inlineStr">
        <is>
          <t>F-005</t>
        </is>
      </c>
      <c r="B14" s="48" t="inlineStr">
        <is>
          <t>Exit EV/EBITDA ±1x</t>
        </is>
      </c>
      <c r="C14" s="19" t="inlineStr">
        <is>
          <t>exit_ev_ebitda_x</t>
        </is>
      </c>
      <c r="D14" s="40">
        <f>exit_ev_ebitda_x</f>
        <v/>
      </c>
      <c r="E14" s="20" t="n">
        <v>-0.15</v>
      </c>
      <c r="F14" s="20" t="n">
        <v>0.15</v>
      </c>
      <c r="G14" s="25" t="n">
        <v>0.7</v>
      </c>
      <c r="H14" s="72">
        <f>D14*(1+E14)</f>
        <v/>
      </c>
      <c r="I14" s="72">
        <f>D14*(1+F14)</f>
        <v/>
      </c>
      <c r="J14" s="33">
        <f>primary_output*E14*G14</f>
        <v/>
      </c>
      <c r="K14" s="33">
        <f>primary_output*F14*G14</f>
        <v/>
      </c>
    </row>
    <row r="15">
      <c r="A15" s="17" t="inlineStr">
        <is>
          <t>F-006</t>
        </is>
      </c>
      <c r="B15" s="48" t="inlineStr">
        <is>
          <t>Beta ±0.10</t>
        </is>
      </c>
      <c r="C15" s="19" t="inlineStr">
        <is>
          <t>beta_levered</t>
        </is>
      </c>
      <c r="D15" s="40">
        <f>beta_levered</f>
        <v/>
      </c>
      <c r="E15" s="20" t="n">
        <v>-0.15</v>
      </c>
      <c r="F15" s="20" t="n">
        <v>0.15</v>
      </c>
      <c r="G15" s="25" t="n">
        <v>-0.25</v>
      </c>
      <c r="H15" s="72">
        <f>D15*(1+E15)</f>
        <v/>
      </c>
      <c r="I15" s="72">
        <f>D15*(1+F15)</f>
        <v/>
      </c>
      <c r="J15" s="33">
        <f>primary_output*E15*G15</f>
        <v/>
      </c>
      <c r="K15" s="33">
        <f>primary_output*F15*G15</f>
        <v/>
      </c>
    </row>
    <row r="16">
      <c r="A16" s="17" t="inlineStr">
        <is>
          <t>F-007</t>
        </is>
      </c>
      <c r="B16" s="48" t="inlineStr">
        <is>
          <t>ERP ±100bps</t>
        </is>
      </c>
      <c r="C16" s="19" t="inlineStr">
        <is>
          <t>equity_risk_premium</t>
        </is>
      </c>
      <c r="D16" s="40">
        <f>equity_risk_premium</f>
        <v/>
      </c>
      <c r="E16" s="20" t="n">
        <v>-0.15</v>
      </c>
      <c r="F16" s="20" t="n">
        <v>0.15</v>
      </c>
      <c r="G16" s="25" t="n">
        <v>-0.3</v>
      </c>
      <c r="H16" s="72">
        <f>D16*(1+E16)</f>
        <v/>
      </c>
      <c r="I16" s="72">
        <f>D16*(1+F16)</f>
        <v/>
      </c>
      <c r="J16" s="33">
        <f>primary_output*E16*G16</f>
        <v/>
      </c>
      <c r="K16" s="33">
        <f>primary_output*F16*G16</f>
        <v/>
      </c>
    </row>
    <row r="19">
      <c r="A19" s="15" t="inlineStr">
        <is>
          <t>2D Data Table: WACC × Terminal g  =TABLE(wacc_rate, terminal_growth_pct)  (Gordon TV)</t>
        </is>
      </c>
    </row>
    <row r="21">
      <c r="B21" s="2" t="inlineStr">
        <is>
          <t>WACC ↓ / g →</t>
        </is>
      </c>
      <c r="C21" s="62">
        <f>terminal_growth_pct+(-0.01)</f>
        <v/>
      </c>
      <c r="D21" s="62">
        <f>terminal_growth_pct+(-0.005)</f>
        <v/>
      </c>
      <c r="E21" s="62">
        <f>terminal_growth_pct+(0.0)</f>
        <v/>
      </c>
      <c r="F21" s="62">
        <f>terminal_growth_pct+(0.005)</f>
        <v/>
      </c>
      <c r="G21" s="62">
        <f>terminal_growth_pct+(0.01)</f>
        <v/>
      </c>
    </row>
    <row r="22">
      <c r="B22" s="62">
        <f>wacc_rate+(-0.02)</f>
        <v/>
      </c>
      <c r="C22" s="66">
        <f>'FCFForecast'!G16/(1+(wacc_rate+(-0.02)))^1.0+'FCFForecast'!H16/(1+(wacc_rate+(-0.02)))^2.0+'FCFForecast'!I16/(1+(wacc_rate+(-0.02)))^3.0+'FCFForecast'!J16/(1+(wacc_rate+(-0.02)))^4.0+'FCFForecast'!K16/(1+(wacc_rate+(-0.02)))^5.0+'Valuation'!$D$8*(1+(terminal_growth_pct+(-0.01)))/((wacc_rate+(-0.02))-(terminal_growth_pct+(-0.01)))/(1+(wacc_rate+(-0.02)))^5.0</f>
        <v/>
      </c>
      <c r="D22" s="66">
        <f>'FCFForecast'!G16/(1+(wacc_rate+(-0.02)))^1.0+'FCFForecast'!H16/(1+(wacc_rate+(-0.02)))^2.0+'FCFForecast'!I16/(1+(wacc_rate+(-0.02)))^3.0+'FCFForecast'!J16/(1+(wacc_rate+(-0.02)))^4.0+'FCFForecast'!K16/(1+(wacc_rate+(-0.02)))^5.0+'Valuation'!$D$8*(1+(terminal_growth_pct+(-0.005)))/((wacc_rate+(-0.02))-(terminal_growth_pct+(-0.005)))/(1+(wacc_rate+(-0.02)))^5.0</f>
        <v/>
      </c>
      <c r="E22" s="66">
        <f>'FCFForecast'!G16/(1+(wacc_rate+(-0.02)))^1.0+'FCFForecast'!H16/(1+(wacc_rate+(-0.02)))^2.0+'FCFForecast'!I16/(1+(wacc_rate+(-0.02)))^3.0+'FCFForecast'!J16/(1+(wacc_rate+(-0.02)))^4.0+'FCFForecast'!K16/(1+(wacc_rate+(-0.02)))^5.0+'Valuation'!$D$8*(1+(terminal_growth_pct+(0.0)))/((wacc_rate+(-0.02))-(terminal_growth_pct+(0.0)))/(1+(wacc_rate+(-0.02)))^5.0</f>
        <v/>
      </c>
      <c r="F22" s="66">
        <f>'FCFForecast'!G16/(1+(wacc_rate+(-0.02)))^1.0+'FCFForecast'!H16/(1+(wacc_rate+(-0.02)))^2.0+'FCFForecast'!I16/(1+(wacc_rate+(-0.02)))^3.0+'FCFForecast'!J16/(1+(wacc_rate+(-0.02)))^4.0+'FCFForecast'!K16/(1+(wacc_rate+(-0.02)))^5.0+'Valuation'!$D$8*(1+(terminal_growth_pct+(0.005)))/((wacc_rate+(-0.02))-(terminal_growth_pct+(0.005)))/(1+(wacc_rate+(-0.02)))^5.0</f>
        <v/>
      </c>
      <c r="G22" s="66">
        <f>'FCFForecast'!G16/(1+(wacc_rate+(-0.02)))^1.0+'FCFForecast'!H16/(1+(wacc_rate+(-0.02)))^2.0+'FCFForecast'!I16/(1+(wacc_rate+(-0.02)))^3.0+'FCFForecast'!J16/(1+(wacc_rate+(-0.02)))^4.0+'FCFForecast'!K16/(1+(wacc_rate+(-0.02)))^5.0+'Valuation'!$D$8*(1+(terminal_growth_pct+(0.01)))/((wacc_rate+(-0.02))-(terminal_growth_pct+(0.01)))/(1+(wacc_rate+(-0.02)))^5.0</f>
        <v/>
      </c>
    </row>
    <row r="23">
      <c r="B23" s="62">
        <f>wacc_rate+(-0.01)</f>
        <v/>
      </c>
      <c r="C23" s="66">
        <f>'FCFForecast'!G16/(1+(wacc_rate+(-0.01)))^1.0+'FCFForecast'!H16/(1+(wacc_rate+(-0.01)))^2.0+'FCFForecast'!I16/(1+(wacc_rate+(-0.01)))^3.0+'FCFForecast'!J16/(1+(wacc_rate+(-0.01)))^4.0+'FCFForecast'!K16/(1+(wacc_rate+(-0.01)))^5.0+'Valuation'!$D$8*(1+(terminal_growth_pct+(-0.01)))/((wacc_rate+(-0.01))-(terminal_growth_pct+(-0.01)))/(1+(wacc_rate+(-0.01)))^5.0</f>
        <v/>
      </c>
      <c r="D23" s="66">
        <f>'FCFForecast'!G16/(1+(wacc_rate+(-0.01)))^1.0+'FCFForecast'!H16/(1+(wacc_rate+(-0.01)))^2.0+'FCFForecast'!I16/(1+(wacc_rate+(-0.01)))^3.0+'FCFForecast'!J16/(1+(wacc_rate+(-0.01)))^4.0+'FCFForecast'!K16/(1+(wacc_rate+(-0.01)))^5.0+'Valuation'!$D$8*(1+(terminal_growth_pct+(-0.005)))/((wacc_rate+(-0.01))-(terminal_growth_pct+(-0.005)))/(1+(wacc_rate+(-0.01)))^5.0</f>
        <v/>
      </c>
      <c r="E23" s="66">
        <f>'FCFForecast'!G16/(1+(wacc_rate+(-0.01)))^1.0+'FCFForecast'!H16/(1+(wacc_rate+(-0.01)))^2.0+'FCFForecast'!I16/(1+(wacc_rate+(-0.01)))^3.0+'FCFForecast'!J16/(1+(wacc_rate+(-0.01)))^4.0+'FCFForecast'!K16/(1+(wacc_rate+(-0.01)))^5.0+'Valuation'!$D$8*(1+(terminal_growth_pct+(0.0)))/((wacc_rate+(-0.01))-(terminal_growth_pct+(0.0)))/(1+(wacc_rate+(-0.01)))^5.0</f>
        <v/>
      </c>
      <c r="F23" s="66">
        <f>'FCFForecast'!G16/(1+(wacc_rate+(-0.01)))^1.0+'FCFForecast'!H16/(1+(wacc_rate+(-0.01)))^2.0+'FCFForecast'!I16/(1+(wacc_rate+(-0.01)))^3.0+'FCFForecast'!J16/(1+(wacc_rate+(-0.01)))^4.0+'FCFForecast'!K16/(1+(wacc_rate+(-0.01)))^5.0+'Valuation'!$D$8*(1+(terminal_growth_pct+(0.005)))/((wacc_rate+(-0.01))-(terminal_growth_pct+(0.005)))/(1+(wacc_rate+(-0.01)))^5.0</f>
        <v/>
      </c>
      <c r="G23" s="66">
        <f>'FCFForecast'!G16/(1+(wacc_rate+(-0.01)))^1.0+'FCFForecast'!H16/(1+(wacc_rate+(-0.01)))^2.0+'FCFForecast'!I16/(1+(wacc_rate+(-0.01)))^3.0+'FCFForecast'!J16/(1+(wacc_rate+(-0.01)))^4.0+'FCFForecast'!K16/(1+(wacc_rate+(-0.01)))^5.0+'Valuation'!$D$8*(1+(terminal_growth_pct+(0.01)))/((wacc_rate+(-0.01))-(terminal_growth_pct+(0.01)))/(1+(wacc_rate+(-0.01)))^5.0</f>
        <v/>
      </c>
    </row>
    <row r="24">
      <c r="B24" s="62">
        <f>wacc_rate+(0.0)</f>
        <v/>
      </c>
      <c r="C24" s="66">
        <f>'FCFForecast'!G16/(1+(wacc_rate+(0.0)))^1.0+'FCFForecast'!H16/(1+(wacc_rate+(0.0)))^2.0+'FCFForecast'!I16/(1+(wacc_rate+(0.0)))^3.0+'FCFForecast'!J16/(1+(wacc_rate+(0.0)))^4.0+'FCFForecast'!K16/(1+(wacc_rate+(0.0)))^5.0+'Valuation'!$D$8*(1+(terminal_growth_pct+(-0.01)))/((wacc_rate+(0.0))-(terminal_growth_pct+(-0.01)))/(1+(wacc_rate+(0.0)))^5.0</f>
        <v/>
      </c>
      <c r="D24" s="66">
        <f>'FCFForecast'!G16/(1+(wacc_rate+(0.0)))^1.0+'FCFForecast'!H16/(1+(wacc_rate+(0.0)))^2.0+'FCFForecast'!I16/(1+(wacc_rate+(0.0)))^3.0+'FCFForecast'!J16/(1+(wacc_rate+(0.0)))^4.0+'FCFForecast'!K16/(1+(wacc_rate+(0.0)))^5.0+'Valuation'!$D$8*(1+(terminal_growth_pct+(-0.005)))/((wacc_rate+(0.0))-(terminal_growth_pct+(-0.005)))/(1+(wacc_rate+(0.0)))^5.0</f>
        <v/>
      </c>
      <c r="E24" s="66">
        <f>'FCFForecast'!G16/(1+(wacc_rate+(0.0)))^1.0+'FCFForecast'!H16/(1+(wacc_rate+(0.0)))^2.0+'FCFForecast'!I16/(1+(wacc_rate+(0.0)))^3.0+'FCFForecast'!J16/(1+(wacc_rate+(0.0)))^4.0+'FCFForecast'!K16/(1+(wacc_rate+(0.0)))^5.0+'Valuation'!$D$8*(1+(terminal_growth_pct+(0.0)))/((wacc_rate+(0.0))-(terminal_growth_pct+(0.0)))/(1+(wacc_rate+(0.0)))^5.0</f>
        <v/>
      </c>
      <c r="F24" s="66">
        <f>'FCFForecast'!G16/(1+(wacc_rate+(0.0)))^1.0+'FCFForecast'!H16/(1+(wacc_rate+(0.0)))^2.0+'FCFForecast'!I16/(1+(wacc_rate+(0.0)))^3.0+'FCFForecast'!J16/(1+(wacc_rate+(0.0)))^4.0+'FCFForecast'!K16/(1+(wacc_rate+(0.0)))^5.0+'Valuation'!$D$8*(1+(terminal_growth_pct+(0.005)))/((wacc_rate+(0.0))-(terminal_growth_pct+(0.005)))/(1+(wacc_rate+(0.0)))^5.0</f>
        <v/>
      </c>
      <c r="G24" s="66">
        <f>'FCFForecast'!G16/(1+(wacc_rate+(0.0)))^1.0+'FCFForecast'!H16/(1+(wacc_rate+(0.0)))^2.0+'FCFForecast'!I16/(1+(wacc_rate+(0.0)))^3.0+'FCFForecast'!J16/(1+(wacc_rate+(0.0)))^4.0+'FCFForecast'!K16/(1+(wacc_rate+(0.0)))^5.0+'Valuation'!$D$8*(1+(terminal_growth_pct+(0.01)))/((wacc_rate+(0.0))-(terminal_growth_pct+(0.01)))/(1+(wacc_rate+(0.0)))^5.0</f>
        <v/>
      </c>
    </row>
    <row r="25">
      <c r="B25" s="62">
        <f>wacc_rate+(0.01)</f>
        <v/>
      </c>
      <c r="C25" s="66">
        <f>'FCFForecast'!G16/(1+(wacc_rate+(0.01)))^1.0+'FCFForecast'!H16/(1+(wacc_rate+(0.01)))^2.0+'FCFForecast'!I16/(1+(wacc_rate+(0.01)))^3.0+'FCFForecast'!J16/(1+(wacc_rate+(0.01)))^4.0+'FCFForecast'!K16/(1+(wacc_rate+(0.01)))^5.0+'Valuation'!$D$8*(1+(terminal_growth_pct+(-0.01)))/((wacc_rate+(0.01))-(terminal_growth_pct+(-0.01)))/(1+(wacc_rate+(0.01)))^5.0</f>
        <v/>
      </c>
      <c r="D25" s="66">
        <f>'FCFForecast'!G16/(1+(wacc_rate+(0.01)))^1.0+'FCFForecast'!H16/(1+(wacc_rate+(0.01)))^2.0+'FCFForecast'!I16/(1+(wacc_rate+(0.01)))^3.0+'FCFForecast'!J16/(1+(wacc_rate+(0.01)))^4.0+'FCFForecast'!K16/(1+(wacc_rate+(0.01)))^5.0+'Valuation'!$D$8*(1+(terminal_growth_pct+(-0.005)))/((wacc_rate+(0.01))-(terminal_growth_pct+(-0.005)))/(1+(wacc_rate+(0.01)))^5.0</f>
        <v/>
      </c>
      <c r="E25" s="66">
        <f>'FCFForecast'!G16/(1+(wacc_rate+(0.01)))^1.0+'FCFForecast'!H16/(1+(wacc_rate+(0.01)))^2.0+'FCFForecast'!I16/(1+(wacc_rate+(0.01)))^3.0+'FCFForecast'!J16/(1+(wacc_rate+(0.01)))^4.0+'FCFForecast'!K16/(1+(wacc_rate+(0.01)))^5.0+'Valuation'!$D$8*(1+(terminal_growth_pct+(0.0)))/((wacc_rate+(0.01))-(terminal_growth_pct+(0.0)))/(1+(wacc_rate+(0.01)))^5.0</f>
        <v/>
      </c>
      <c r="F25" s="66">
        <f>'FCFForecast'!G16/(1+(wacc_rate+(0.01)))^1.0+'FCFForecast'!H16/(1+(wacc_rate+(0.01)))^2.0+'FCFForecast'!I16/(1+(wacc_rate+(0.01)))^3.0+'FCFForecast'!J16/(1+(wacc_rate+(0.01)))^4.0+'FCFForecast'!K16/(1+(wacc_rate+(0.01)))^5.0+'Valuation'!$D$8*(1+(terminal_growth_pct+(0.005)))/((wacc_rate+(0.01))-(terminal_growth_pct+(0.005)))/(1+(wacc_rate+(0.01)))^5.0</f>
        <v/>
      </c>
      <c r="G25" s="66">
        <f>'FCFForecast'!G16/(1+(wacc_rate+(0.01)))^1.0+'FCFForecast'!H16/(1+(wacc_rate+(0.01)))^2.0+'FCFForecast'!I16/(1+(wacc_rate+(0.01)))^3.0+'FCFForecast'!J16/(1+(wacc_rate+(0.01)))^4.0+'FCFForecast'!K16/(1+(wacc_rate+(0.01)))^5.0+'Valuation'!$D$8*(1+(terminal_growth_pct+(0.01)))/((wacc_rate+(0.01))-(terminal_growth_pct+(0.01)))/(1+(wacc_rate+(0.01)))^5.0</f>
        <v/>
      </c>
    </row>
    <row r="26">
      <c r="B26" s="62">
        <f>wacc_rate+(0.02)</f>
        <v/>
      </c>
      <c r="C26" s="66">
        <f>'FCFForecast'!G16/(1+(wacc_rate+(0.02)))^1.0+'FCFForecast'!H16/(1+(wacc_rate+(0.02)))^2.0+'FCFForecast'!I16/(1+(wacc_rate+(0.02)))^3.0+'FCFForecast'!J16/(1+(wacc_rate+(0.02)))^4.0+'FCFForecast'!K16/(1+(wacc_rate+(0.02)))^5.0+'Valuation'!$D$8*(1+(terminal_growth_pct+(-0.01)))/((wacc_rate+(0.02))-(terminal_growth_pct+(-0.01)))/(1+(wacc_rate+(0.02)))^5.0</f>
        <v/>
      </c>
      <c r="D26" s="66">
        <f>'FCFForecast'!G16/(1+(wacc_rate+(0.02)))^1.0+'FCFForecast'!H16/(1+(wacc_rate+(0.02)))^2.0+'FCFForecast'!I16/(1+(wacc_rate+(0.02)))^3.0+'FCFForecast'!J16/(1+(wacc_rate+(0.02)))^4.0+'FCFForecast'!K16/(1+(wacc_rate+(0.02)))^5.0+'Valuation'!$D$8*(1+(terminal_growth_pct+(-0.005)))/((wacc_rate+(0.02))-(terminal_growth_pct+(-0.005)))/(1+(wacc_rate+(0.02)))^5.0</f>
        <v/>
      </c>
      <c r="E26" s="66">
        <f>'FCFForecast'!G16/(1+(wacc_rate+(0.02)))^1.0+'FCFForecast'!H16/(1+(wacc_rate+(0.02)))^2.0+'FCFForecast'!I16/(1+(wacc_rate+(0.02)))^3.0+'FCFForecast'!J16/(1+(wacc_rate+(0.02)))^4.0+'FCFForecast'!K16/(1+(wacc_rate+(0.02)))^5.0+'Valuation'!$D$8*(1+(terminal_growth_pct+(0.0)))/((wacc_rate+(0.02))-(terminal_growth_pct+(0.0)))/(1+(wacc_rate+(0.02)))^5.0</f>
        <v/>
      </c>
      <c r="F26" s="66">
        <f>'FCFForecast'!G16/(1+(wacc_rate+(0.02)))^1.0+'FCFForecast'!H16/(1+(wacc_rate+(0.02)))^2.0+'FCFForecast'!I16/(1+(wacc_rate+(0.02)))^3.0+'FCFForecast'!J16/(1+(wacc_rate+(0.02)))^4.0+'FCFForecast'!K16/(1+(wacc_rate+(0.02)))^5.0+'Valuation'!$D$8*(1+(terminal_growth_pct+(0.005)))/((wacc_rate+(0.02))-(terminal_growth_pct+(0.005)))/(1+(wacc_rate+(0.02)))^5.0</f>
        <v/>
      </c>
      <c r="G26" s="66">
        <f>'FCFForecast'!G16/(1+(wacc_rate+(0.02)))^1.0+'FCFForecast'!H16/(1+(wacc_rate+(0.02)))^2.0+'FCFForecast'!I16/(1+(wacc_rate+(0.02)))^3.0+'FCFForecast'!J16/(1+(wacc_rate+(0.02)))^4.0+'FCFForecast'!K16/(1+(wacc_rate+(0.02)))^5.0+'Valuation'!$D$8*(1+(terminal_growth_pct+(0.01)))/((wacc_rate+(0.02))-(terminal_growth_pct+(0.01)))/(1+(wacc_rate+(0.02)))^5.0</f>
        <v/>
      </c>
    </row>
    <row r="30">
      <c r="A30" s="15" t="inlineStr">
        <is>
          <t>2D Data Table: WACC × Exit EV/EBITDA  =TABLE(wacc_rate, exit_ev_ebitda_x)  (Exit-multiple TV)</t>
        </is>
      </c>
    </row>
    <row r="32">
      <c r="B32" s="2" t="inlineStr">
        <is>
          <t>WACC ↓ / exit ×</t>
        </is>
      </c>
      <c r="C32" s="58">
        <f>exit_ev_ebitda_x+(-2.0)</f>
        <v/>
      </c>
      <c r="D32" s="58">
        <f>exit_ev_ebitda_x+(-1.0)</f>
        <v/>
      </c>
      <c r="E32" s="58">
        <f>exit_ev_ebitda_x+(0.0)</f>
        <v/>
      </c>
      <c r="F32" s="58">
        <f>exit_ev_ebitda_x+(1.0)</f>
        <v/>
      </c>
      <c r="G32" s="58">
        <f>exit_ev_ebitda_x+(2.0)</f>
        <v/>
      </c>
    </row>
    <row r="33">
      <c r="B33" s="62">
        <f>wacc_rate+(-0.02)</f>
        <v/>
      </c>
      <c r="C33" s="66">
        <f>'FCFForecast'!G16/(1+(wacc_rate+(-0.02)))^1.0+'FCFForecast'!H16/(1+(wacc_rate+(-0.02)))^2.0+'FCFForecast'!I16/(1+(wacc_rate+(-0.02)))^3.0+'FCFForecast'!J16/(1+(wacc_rate+(-0.02)))^4.0+'FCFForecast'!K16/(1+(wacc_rate+(-0.02)))^5.0+'FCFForecast'!K8*(exit_ev_ebitda_x+(-2.0))/(1+(wacc_rate+(-0.02)))^5.0</f>
        <v/>
      </c>
      <c r="D33" s="66">
        <f>'FCFForecast'!G16/(1+(wacc_rate+(-0.02)))^1.0+'FCFForecast'!H16/(1+(wacc_rate+(-0.02)))^2.0+'FCFForecast'!I16/(1+(wacc_rate+(-0.02)))^3.0+'FCFForecast'!J16/(1+(wacc_rate+(-0.02)))^4.0+'FCFForecast'!K16/(1+(wacc_rate+(-0.02)))^5.0+'FCFForecast'!K8*(exit_ev_ebitda_x+(-1.0))/(1+(wacc_rate+(-0.02)))^5.0</f>
        <v/>
      </c>
      <c r="E33" s="66">
        <f>'FCFForecast'!G16/(1+(wacc_rate+(-0.02)))^1.0+'FCFForecast'!H16/(1+(wacc_rate+(-0.02)))^2.0+'FCFForecast'!I16/(1+(wacc_rate+(-0.02)))^3.0+'FCFForecast'!J16/(1+(wacc_rate+(-0.02)))^4.0+'FCFForecast'!K16/(1+(wacc_rate+(-0.02)))^5.0+'FCFForecast'!K8*(exit_ev_ebitda_x+(0.0))/(1+(wacc_rate+(-0.02)))^5.0</f>
        <v/>
      </c>
      <c r="F33" s="66">
        <f>'FCFForecast'!G16/(1+(wacc_rate+(-0.02)))^1.0+'FCFForecast'!H16/(1+(wacc_rate+(-0.02)))^2.0+'FCFForecast'!I16/(1+(wacc_rate+(-0.02)))^3.0+'FCFForecast'!J16/(1+(wacc_rate+(-0.02)))^4.0+'FCFForecast'!K16/(1+(wacc_rate+(-0.02)))^5.0+'FCFForecast'!K8*(exit_ev_ebitda_x+(1.0))/(1+(wacc_rate+(-0.02)))^5.0</f>
        <v/>
      </c>
      <c r="G33" s="66">
        <f>'FCFForecast'!G16/(1+(wacc_rate+(-0.02)))^1.0+'FCFForecast'!H16/(1+(wacc_rate+(-0.02)))^2.0+'FCFForecast'!I16/(1+(wacc_rate+(-0.02)))^3.0+'FCFForecast'!J16/(1+(wacc_rate+(-0.02)))^4.0+'FCFForecast'!K16/(1+(wacc_rate+(-0.02)))^5.0+'FCFForecast'!K8*(exit_ev_ebitda_x+(2.0))/(1+(wacc_rate+(-0.02)))^5.0</f>
        <v/>
      </c>
    </row>
    <row r="34">
      <c r="B34" s="62">
        <f>wacc_rate+(-0.01)</f>
        <v/>
      </c>
      <c r="C34" s="66">
        <f>'FCFForecast'!G16/(1+(wacc_rate+(-0.01)))^1.0+'FCFForecast'!H16/(1+(wacc_rate+(-0.01)))^2.0+'FCFForecast'!I16/(1+(wacc_rate+(-0.01)))^3.0+'FCFForecast'!J16/(1+(wacc_rate+(-0.01)))^4.0+'FCFForecast'!K16/(1+(wacc_rate+(-0.01)))^5.0+'FCFForecast'!K8*(exit_ev_ebitda_x+(-2.0))/(1+(wacc_rate+(-0.01)))^5.0</f>
        <v/>
      </c>
      <c r="D34" s="66">
        <f>'FCFForecast'!G16/(1+(wacc_rate+(-0.01)))^1.0+'FCFForecast'!H16/(1+(wacc_rate+(-0.01)))^2.0+'FCFForecast'!I16/(1+(wacc_rate+(-0.01)))^3.0+'FCFForecast'!J16/(1+(wacc_rate+(-0.01)))^4.0+'FCFForecast'!K16/(1+(wacc_rate+(-0.01)))^5.0+'FCFForecast'!K8*(exit_ev_ebitda_x+(-1.0))/(1+(wacc_rate+(-0.01)))^5.0</f>
        <v/>
      </c>
      <c r="E34" s="66">
        <f>'FCFForecast'!G16/(1+(wacc_rate+(-0.01)))^1.0+'FCFForecast'!H16/(1+(wacc_rate+(-0.01)))^2.0+'FCFForecast'!I16/(1+(wacc_rate+(-0.01)))^3.0+'FCFForecast'!J16/(1+(wacc_rate+(-0.01)))^4.0+'FCFForecast'!K16/(1+(wacc_rate+(-0.01)))^5.0+'FCFForecast'!K8*(exit_ev_ebitda_x+(0.0))/(1+(wacc_rate+(-0.01)))^5.0</f>
        <v/>
      </c>
      <c r="F34" s="66">
        <f>'FCFForecast'!G16/(1+(wacc_rate+(-0.01)))^1.0+'FCFForecast'!H16/(1+(wacc_rate+(-0.01)))^2.0+'FCFForecast'!I16/(1+(wacc_rate+(-0.01)))^3.0+'FCFForecast'!J16/(1+(wacc_rate+(-0.01)))^4.0+'FCFForecast'!K16/(1+(wacc_rate+(-0.01)))^5.0+'FCFForecast'!K8*(exit_ev_ebitda_x+(1.0))/(1+(wacc_rate+(-0.01)))^5.0</f>
        <v/>
      </c>
      <c r="G34" s="66">
        <f>'FCFForecast'!G16/(1+(wacc_rate+(-0.01)))^1.0+'FCFForecast'!H16/(1+(wacc_rate+(-0.01)))^2.0+'FCFForecast'!I16/(1+(wacc_rate+(-0.01)))^3.0+'FCFForecast'!J16/(1+(wacc_rate+(-0.01)))^4.0+'FCFForecast'!K16/(1+(wacc_rate+(-0.01)))^5.0+'FCFForecast'!K8*(exit_ev_ebitda_x+(2.0))/(1+(wacc_rate+(-0.01)))^5.0</f>
        <v/>
      </c>
    </row>
    <row r="35">
      <c r="B35" s="62">
        <f>wacc_rate+(0.0)</f>
        <v/>
      </c>
      <c r="C35" s="66">
        <f>'FCFForecast'!G16/(1+(wacc_rate+(0.0)))^1.0+'FCFForecast'!H16/(1+(wacc_rate+(0.0)))^2.0+'FCFForecast'!I16/(1+(wacc_rate+(0.0)))^3.0+'FCFForecast'!J16/(1+(wacc_rate+(0.0)))^4.0+'FCFForecast'!K16/(1+(wacc_rate+(0.0)))^5.0+'FCFForecast'!K8*(exit_ev_ebitda_x+(-2.0))/(1+(wacc_rate+(0.0)))^5.0</f>
        <v/>
      </c>
      <c r="D35" s="66">
        <f>'FCFForecast'!G16/(1+(wacc_rate+(0.0)))^1.0+'FCFForecast'!H16/(1+(wacc_rate+(0.0)))^2.0+'FCFForecast'!I16/(1+(wacc_rate+(0.0)))^3.0+'FCFForecast'!J16/(1+(wacc_rate+(0.0)))^4.0+'FCFForecast'!K16/(1+(wacc_rate+(0.0)))^5.0+'FCFForecast'!K8*(exit_ev_ebitda_x+(-1.0))/(1+(wacc_rate+(0.0)))^5.0</f>
        <v/>
      </c>
      <c r="E35" s="66">
        <f>'FCFForecast'!G16/(1+(wacc_rate+(0.0)))^1.0+'FCFForecast'!H16/(1+(wacc_rate+(0.0)))^2.0+'FCFForecast'!I16/(1+(wacc_rate+(0.0)))^3.0+'FCFForecast'!J16/(1+(wacc_rate+(0.0)))^4.0+'FCFForecast'!K16/(1+(wacc_rate+(0.0)))^5.0+'FCFForecast'!K8*(exit_ev_ebitda_x+(0.0))/(1+(wacc_rate+(0.0)))^5.0</f>
        <v/>
      </c>
      <c r="F35" s="66">
        <f>'FCFForecast'!G16/(1+(wacc_rate+(0.0)))^1.0+'FCFForecast'!H16/(1+(wacc_rate+(0.0)))^2.0+'FCFForecast'!I16/(1+(wacc_rate+(0.0)))^3.0+'FCFForecast'!J16/(1+(wacc_rate+(0.0)))^4.0+'FCFForecast'!K16/(1+(wacc_rate+(0.0)))^5.0+'FCFForecast'!K8*(exit_ev_ebitda_x+(1.0))/(1+(wacc_rate+(0.0)))^5.0</f>
        <v/>
      </c>
      <c r="G35" s="66">
        <f>'FCFForecast'!G16/(1+(wacc_rate+(0.0)))^1.0+'FCFForecast'!H16/(1+(wacc_rate+(0.0)))^2.0+'FCFForecast'!I16/(1+(wacc_rate+(0.0)))^3.0+'FCFForecast'!J16/(1+(wacc_rate+(0.0)))^4.0+'FCFForecast'!K16/(1+(wacc_rate+(0.0)))^5.0+'FCFForecast'!K8*(exit_ev_ebitda_x+(2.0))/(1+(wacc_rate+(0.0)))^5.0</f>
        <v/>
      </c>
    </row>
    <row r="36">
      <c r="B36" s="62">
        <f>wacc_rate+(0.01)</f>
        <v/>
      </c>
      <c r="C36" s="66">
        <f>'FCFForecast'!G16/(1+(wacc_rate+(0.01)))^1.0+'FCFForecast'!H16/(1+(wacc_rate+(0.01)))^2.0+'FCFForecast'!I16/(1+(wacc_rate+(0.01)))^3.0+'FCFForecast'!J16/(1+(wacc_rate+(0.01)))^4.0+'FCFForecast'!K16/(1+(wacc_rate+(0.01)))^5.0+'FCFForecast'!K8*(exit_ev_ebitda_x+(-2.0))/(1+(wacc_rate+(0.01)))^5.0</f>
        <v/>
      </c>
      <c r="D36" s="66">
        <f>'FCFForecast'!G16/(1+(wacc_rate+(0.01)))^1.0+'FCFForecast'!H16/(1+(wacc_rate+(0.01)))^2.0+'FCFForecast'!I16/(1+(wacc_rate+(0.01)))^3.0+'FCFForecast'!J16/(1+(wacc_rate+(0.01)))^4.0+'FCFForecast'!K16/(1+(wacc_rate+(0.01)))^5.0+'FCFForecast'!K8*(exit_ev_ebitda_x+(-1.0))/(1+(wacc_rate+(0.01)))^5.0</f>
        <v/>
      </c>
      <c r="E36" s="66">
        <f>'FCFForecast'!G16/(1+(wacc_rate+(0.01)))^1.0+'FCFForecast'!H16/(1+(wacc_rate+(0.01)))^2.0+'FCFForecast'!I16/(1+(wacc_rate+(0.01)))^3.0+'FCFForecast'!J16/(1+(wacc_rate+(0.01)))^4.0+'FCFForecast'!K16/(1+(wacc_rate+(0.01)))^5.0+'FCFForecast'!K8*(exit_ev_ebitda_x+(0.0))/(1+(wacc_rate+(0.01)))^5.0</f>
        <v/>
      </c>
      <c r="F36" s="66">
        <f>'FCFForecast'!G16/(1+(wacc_rate+(0.01)))^1.0+'FCFForecast'!H16/(1+(wacc_rate+(0.01)))^2.0+'FCFForecast'!I16/(1+(wacc_rate+(0.01)))^3.0+'FCFForecast'!J16/(1+(wacc_rate+(0.01)))^4.0+'FCFForecast'!K16/(1+(wacc_rate+(0.01)))^5.0+'FCFForecast'!K8*(exit_ev_ebitda_x+(1.0))/(1+(wacc_rate+(0.01)))^5.0</f>
        <v/>
      </c>
      <c r="G36" s="66">
        <f>'FCFForecast'!G16/(1+(wacc_rate+(0.01)))^1.0+'FCFForecast'!H16/(1+(wacc_rate+(0.01)))^2.0+'FCFForecast'!I16/(1+(wacc_rate+(0.01)))^3.0+'FCFForecast'!J16/(1+(wacc_rate+(0.01)))^4.0+'FCFForecast'!K16/(1+(wacc_rate+(0.01)))^5.0+'FCFForecast'!K8*(exit_ev_ebitda_x+(2.0))/(1+(wacc_rate+(0.01)))^5.0</f>
        <v/>
      </c>
    </row>
    <row r="37">
      <c r="B37" s="62">
        <f>wacc_rate+(0.02)</f>
        <v/>
      </c>
      <c r="C37" s="66">
        <f>'FCFForecast'!G16/(1+(wacc_rate+(0.02)))^1.0+'FCFForecast'!H16/(1+(wacc_rate+(0.02)))^2.0+'FCFForecast'!I16/(1+(wacc_rate+(0.02)))^3.0+'FCFForecast'!J16/(1+(wacc_rate+(0.02)))^4.0+'FCFForecast'!K16/(1+(wacc_rate+(0.02)))^5.0+'FCFForecast'!K8*(exit_ev_ebitda_x+(-2.0))/(1+(wacc_rate+(0.02)))^5.0</f>
        <v/>
      </c>
      <c r="D37" s="66">
        <f>'FCFForecast'!G16/(1+(wacc_rate+(0.02)))^1.0+'FCFForecast'!H16/(1+(wacc_rate+(0.02)))^2.0+'FCFForecast'!I16/(1+(wacc_rate+(0.02)))^3.0+'FCFForecast'!J16/(1+(wacc_rate+(0.02)))^4.0+'FCFForecast'!K16/(1+(wacc_rate+(0.02)))^5.0+'FCFForecast'!K8*(exit_ev_ebitda_x+(-1.0))/(1+(wacc_rate+(0.02)))^5.0</f>
        <v/>
      </c>
      <c r="E37" s="66">
        <f>'FCFForecast'!G16/(1+(wacc_rate+(0.02)))^1.0+'FCFForecast'!H16/(1+(wacc_rate+(0.02)))^2.0+'FCFForecast'!I16/(1+(wacc_rate+(0.02)))^3.0+'FCFForecast'!J16/(1+(wacc_rate+(0.02)))^4.0+'FCFForecast'!K16/(1+(wacc_rate+(0.02)))^5.0+'FCFForecast'!K8*(exit_ev_ebitda_x+(0.0))/(1+(wacc_rate+(0.02)))^5.0</f>
        <v/>
      </c>
      <c r="F37" s="66">
        <f>'FCFForecast'!G16/(1+(wacc_rate+(0.02)))^1.0+'FCFForecast'!H16/(1+(wacc_rate+(0.02)))^2.0+'FCFForecast'!I16/(1+(wacc_rate+(0.02)))^3.0+'FCFForecast'!J16/(1+(wacc_rate+(0.02)))^4.0+'FCFForecast'!K16/(1+(wacc_rate+(0.02)))^5.0+'FCFForecast'!K8*(exit_ev_ebitda_x+(1.0))/(1+(wacc_rate+(0.02)))^5.0</f>
        <v/>
      </c>
      <c r="G37" s="66">
        <f>'FCFForecast'!G16/(1+(wacc_rate+(0.02)))^1.0+'FCFForecast'!H16/(1+(wacc_rate+(0.02)))^2.0+'FCFForecast'!I16/(1+(wacc_rate+(0.02)))^3.0+'FCFForecast'!J16/(1+(wacc_rate+(0.02)))^4.0+'FCFForecast'!K16/(1+(wacc_rate+(0.02)))^5.0+'FCFForecast'!K8*(exit_ev_ebitda_x+(2.0))/(1+(wacc_rate+(0.02)))^5.0</f>
        <v/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5" t="inlineStr">
        <is>
          <t>Monte Carlo Simulation</t>
        </is>
      </c>
    </row>
    <row r="2">
      <c r="A2" s="2" t="inlineStr">
        <is>
          <t>Simulazione Monte Carlo</t>
        </is>
      </c>
    </row>
    <row r="3">
      <c r="A3" s="37" t="inlineStr">
        <is>
          <t>ACTIVE SCENARIO →</t>
        </is>
      </c>
      <c r="B3" s="38" t="inlineStr">
        <is>
          <t>SCENARIO ATTIVO →</t>
        </is>
      </c>
      <c r="C3" s="63">
        <f>CHOOSE(scenario_index,"WORST","BASE","BEST")</f>
        <v/>
      </c>
    </row>
    <row r="4">
      <c r="A4" s="50" t="inlineStr">
        <is>
          <t>STATIC SNAPSHOT — computed at build time (seed/scenario fixed). Does NOT recompute when you change scenario_index or drivers. To refresh: rebuild from the spec.  |  ISTANTANEA STATICA — calcolata in fase di build (seed/scenario fissi). NON si ricalcola se modifichi scenario_index o i driver. Per aggiornare: ricostruisci dalla specifica.</t>
        </is>
      </c>
    </row>
    <row r="5">
      <c r="A5" s="17" t="inlineStr">
        <is>
          <t>Base output</t>
        </is>
      </c>
      <c r="B5" s="17" t="inlineStr">
        <is>
          <t>Implied EV</t>
        </is>
      </c>
      <c r="C5" s="62">
        <f>primary_output</f>
        <v/>
      </c>
    </row>
    <row r="6">
      <c r="A6" s="2" t="inlineStr">
        <is>
          <t>1,000-run triangular simulation on Implied EV. Method: exact shadow-engine recompute per draw. Δ mode: fractional (× base = absolute). Seed=20260417.</t>
        </is>
      </c>
    </row>
    <row r="8">
      <c r="A8" s="51" t="inlineStr">
        <is>
          <t>PARAMETRIC (LIVE — normal approx) — P5/P50/P95/mean as live Excel formulas off primary_output and the mc_vol input. RECOMPUTES when you flip scenario_index or edit mc_vol. Distinct from the sampled histogram below, which is a build-time snapshot (exact resim via `modelforge monte-carlo`).  |  PARAMETRICO (LIVE — approssimazione normale) — P5/P50/P95/media come formule Excel live su primary_output e l'input mc_vol. Si RICALCOLA quando cambi scenario_index o modifichi mc_vol. Distinto dall'istogramma campionato sotto, che è un'istantanea di build (ri-simulazione esatta con `modelforge monte-carlo`).</t>
        </is>
      </c>
    </row>
    <row r="9">
      <c r="A9" s="17" t="inlineStr">
        <is>
          <t>Volatility (σ, editable)</t>
        </is>
      </c>
      <c r="B9" s="44" t="n">
        <v>0.06277046664881515</v>
      </c>
    </row>
    <row r="10">
      <c r="A10" s="12" t="inlineStr">
        <is>
          <t>Statistic</t>
        </is>
      </c>
      <c r="B10" s="12" t="inlineStr">
        <is>
          <t>Parametric (LIVE)</t>
        </is>
      </c>
    </row>
    <row r="11">
      <c r="A11" s="17" t="inlineStr">
        <is>
          <t>Mean (LIVE)</t>
        </is>
      </c>
      <c r="B11" s="33">
        <f>primary_output</f>
        <v/>
      </c>
    </row>
    <row r="12">
      <c r="A12" s="17" t="inlineStr">
        <is>
          <t>P5 (LIVE)</t>
        </is>
      </c>
      <c r="B12" s="33">
        <f>primary_output*(1+NORM.S.INV(0.05)*mc_vol)</f>
        <v/>
      </c>
    </row>
    <row r="13">
      <c r="A13" s="17" t="inlineStr">
        <is>
          <t>P50 (LIVE)</t>
        </is>
      </c>
      <c r="B13" s="33">
        <f>primary_output*(1+NORM.S.INV(0.5)*mc_vol)</f>
        <v/>
      </c>
    </row>
    <row r="14">
      <c r="A14" s="17" t="inlineStr">
        <is>
          <t>P95 (LIVE)</t>
        </is>
      </c>
      <c r="B14" s="33">
        <f>primary_output*(1+NORM.S.INV(0.95)*mc_vol)</f>
        <v/>
      </c>
    </row>
    <row r="16">
      <c r="A16" s="52" t="inlineStr">
        <is>
          <t>SAMPLED (snapshot) — full 1,000-draw triangular distribution; frozen at build time, does NOT recompute on scenario flip (refresh: `modelforge monte-carlo`).</t>
        </is>
      </c>
    </row>
    <row r="17">
      <c r="A17" s="12" t="inlineStr">
        <is>
          <t>Statistic</t>
        </is>
      </c>
      <c r="B17" s="12" t="inlineStr">
        <is>
          <t>Δ output (frac)</t>
        </is>
      </c>
      <c r="C17" s="12" t="inlineStr">
        <is>
          <t>Absolute output</t>
        </is>
      </c>
    </row>
    <row r="18">
      <c r="A18" s="17" t="inlineStr">
        <is>
          <t>Mean</t>
        </is>
      </c>
      <c r="B18" s="53" t="n">
        <v>0.006468309475686079</v>
      </c>
      <c r="C18" s="33">
        <f>primary_output*(1+B18)</f>
        <v/>
      </c>
    </row>
    <row r="19">
      <c r="A19" s="17" t="inlineStr">
        <is>
          <t>Std</t>
        </is>
      </c>
      <c r="B19" s="53" t="n">
        <v>0.06277046664881515</v>
      </c>
      <c r="C19" s="33">
        <f>primary_output*(1+B19)</f>
        <v/>
      </c>
    </row>
    <row r="20">
      <c r="A20" s="17" t="inlineStr">
        <is>
          <t>P5</t>
        </is>
      </c>
      <c r="B20" s="53" t="n">
        <v>-0.09360907648880536</v>
      </c>
      <c r="C20" s="33">
        <f>primary_output*(1+B20)</f>
        <v/>
      </c>
    </row>
    <row r="21">
      <c r="A21" s="17" t="inlineStr">
        <is>
          <t>P25</t>
        </is>
      </c>
      <c r="B21" s="53" t="n">
        <v>-0.0392968873720809</v>
      </c>
      <c r="C21" s="33">
        <f>primary_output*(1+B21)</f>
        <v/>
      </c>
    </row>
    <row r="22">
      <c r="A22" s="17" t="inlineStr">
        <is>
          <t>P50 (median)</t>
        </is>
      </c>
      <c r="B22" s="53" t="n">
        <v>0.00565702721237623</v>
      </c>
      <c r="C22" s="33">
        <f>primary_output*(1+B22)</f>
        <v/>
      </c>
    </row>
    <row r="23">
      <c r="A23" s="17" t="inlineStr">
        <is>
          <t>P75</t>
        </is>
      </c>
      <c r="B23" s="53" t="n">
        <v>0.04821523148203886</v>
      </c>
      <c r="C23" s="33">
        <f>primary_output*(1+B23)</f>
        <v/>
      </c>
    </row>
    <row r="24">
      <c r="A24" s="17" t="inlineStr">
        <is>
          <t>P95</t>
        </is>
      </c>
      <c r="B24" s="53" t="n">
        <v>0.1113576505982868</v>
      </c>
      <c r="C24" s="33">
        <f>primary_output*(1+B24)</f>
        <v/>
      </c>
    </row>
    <row r="25">
      <c r="A25" s="17" t="inlineStr">
        <is>
          <t>Min</t>
        </is>
      </c>
      <c r="B25" s="53" t="n">
        <v>-0.1638125313170472</v>
      </c>
      <c r="C25" s="33">
        <f>primary_output*(1+B25)</f>
        <v/>
      </c>
    </row>
    <row r="26">
      <c r="A26" s="17" t="inlineStr">
        <is>
          <t>Max</t>
        </is>
      </c>
      <c r="B26" s="53" t="n">
        <v>0.2216070347236162</v>
      </c>
      <c r="C26" s="33">
        <f>primary_output*(1+B26)</f>
        <v/>
      </c>
    </row>
    <row r="29">
      <c r="A29" s="17" t="inlineStr">
        <is>
          <t>Histogram bins</t>
        </is>
      </c>
    </row>
    <row r="30">
      <c r="A30" s="12" t="inlineStr">
        <is>
          <t>Bin low (Δ)</t>
        </is>
      </c>
      <c r="B30" s="12" t="inlineStr">
        <is>
          <t>Bin high (Δ)</t>
        </is>
      </c>
      <c r="C30" s="12" t="inlineStr">
        <is>
          <t>Count</t>
        </is>
      </c>
    </row>
    <row r="31">
      <c r="A31" s="53" t="n">
        <v>-0.1638125313170472</v>
      </c>
      <c r="B31" s="53" t="n">
        <v>-0.1509652124490251</v>
      </c>
      <c r="C31" s="54" t="n">
        <v>2</v>
      </c>
    </row>
    <row r="32">
      <c r="A32" s="53" t="n">
        <v>-0.1509652124490251</v>
      </c>
      <c r="B32" s="53" t="n">
        <v>-0.138117893581003</v>
      </c>
      <c r="C32" s="54" t="n">
        <v>3</v>
      </c>
    </row>
    <row r="33">
      <c r="A33" s="53" t="n">
        <v>-0.138117893581003</v>
      </c>
      <c r="B33" s="53" t="n">
        <v>-0.1252705747129808</v>
      </c>
      <c r="C33" s="54" t="n">
        <v>6</v>
      </c>
    </row>
    <row r="34">
      <c r="A34" s="53" t="n">
        <v>-0.1252705747129808</v>
      </c>
      <c r="B34" s="53" t="n">
        <v>-0.1124232558449587</v>
      </c>
      <c r="C34" s="54" t="n">
        <v>15</v>
      </c>
    </row>
    <row r="35">
      <c r="A35" s="53" t="n">
        <v>-0.1124232558449587</v>
      </c>
      <c r="B35" s="53" t="n">
        <v>-0.0995759369769366</v>
      </c>
      <c r="C35" s="54" t="n">
        <v>16</v>
      </c>
    </row>
    <row r="36">
      <c r="A36" s="53" t="n">
        <v>-0.0995759369769366</v>
      </c>
      <c r="B36" s="53" t="n">
        <v>-0.0867286181089145</v>
      </c>
      <c r="C36" s="54" t="n">
        <v>30</v>
      </c>
    </row>
    <row r="37">
      <c r="A37" s="53" t="n">
        <v>-0.0867286181089145</v>
      </c>
      <c r="B37" s="53" t="n">
        <v>-0.07388129924089237</v>
      </c>
      <c r="C37" s="54" t="n">
        <v>40</v>
      </c>
    </row>
    <row r="38">
      <c r="A38" s="53" t="n">
        <v>-0.07388129924089237</v>
      </c>
      <c r="B38" s="53" t="n">
        <v>-0.06103398037287026</v>
      </c>
      <c r="C38" s="54" t="n">
        <v>31</v>
      </c>
    </row>
    <row r="39">
      <c r="A39" s="53" t="n">
        <v>-0.06103398037287026</v>
      </c>
      <c r="B39" s="53" t="n">
        <v>-0.04818666150484816</v>
      </c>
      <c r="C39" s="54" t="n">
        <v>57</v>
      </c>
    </row>
    <row r="40">
      <c r="A40" s="53" t="n">
        <v>-0.04818666150484816</v>
      </c>
      <c r="B40" s="53" t="n">
        <v>-0.03533934263682603</v>
      </c>
      <c r="C40" s="54" t="n">
        <v>68</v>
      </c>
    </row>
    <row r="41">
      <c r="A41" s="53" t="n">
        <v>-0.03533934263682603</v>
      </c>
      <c r="B41" s="53" t="n">
        <v>-0.02249202376880391</v>
      </c>
      <c r="C41" s="54" t="n">
        <v>56</v>
      </c>
    </row>
    <row r="42">
      <c r="A42" s="53" t="n">
        <v>-0.02249202376880391</v>
      </c>
      <c r="B42" s="53" t="n">
        <v>-0.009644704900781814</v>
      </c>
      <c r="C42" s="54" t="n">
        <v>67</v>
      </c>
    </row>
    <row r="43">
      <c r="A43" s="53" t="n">
        <v>-0.009644704900781814</v>
      </c>
      <c r="B43" s="53" t="n">
        <v>0.003202613967240309</v>
      </c>
      <c r="C43" s="54" t="n">
        <v>86</v>
      </c>
    </row>
    <row r="44">
      <c r="A44" s="53" t="n">
        <v>0.003202613967240309</v>
      </c>
      <c r="B44" s="53" t="n">
        <v>0.01604993283526243</v>
      </c>
      <c r="C44" s="54" t="n">
        <v>86</v>
      </c>
    </row>
    <row r="45">
      <c r="A45" s="53" t="n">
        <v>0.01604993283526243</v>
      </c>
      <c r="B45" s="53" t="n">
        <v>0.02889725170328453</v>
      </c>
      <c r="C45" s="54" t="n">
        <v>80</v>
      </c>
    </row>
    <row r="46">
      <c r="A46" s="53" t="n">
        <v>0.02889725170328453</v>
      </c>
      <c r="B46" s="53" t="n">
        <v>0.04174457057130665</v>
      </c>
      <c r="C46" s="54" t="n">
        <v>69</v>
      </c>
    </row>
    <row r="47">
      <c r="A47" s="53" t="n">
        <v>0.04174457057130665</v>
      </c>
      <c r="B47" s="53" t="n">
        <v>0.05459188943932877</v>
      </c>
      <c r="C47" s="54" t="n">
        <v>72</v>
      </c>
    </row>
    <row r="48">
      <c r="A48" s="53" t="n">
        <v>0.05459188943932877</v>
      </c>
      <c r="B48" s="53" t="n">
        <v>0.06743920830735087</v>
      </c>
      <c r="C48" s="54" t="n">
        <v>50</v>
      </c>
    </row>
    <row r="49">
      <c r="A49" s="53" t="n">
        <v>0.06743920830735087</v>
      </c>
      <c r="B49" s="53" t="n">
        <v>0.08028652717537299</v>
      </c>
      <c r="C49" s="54" t="n">
        <v>34</v>
      </c>
    </row>
    <row r="50">
      <c r="A50" s="53" t="n">
        <v>0.08028652717537299</v>
      </c>
      <c r="B50" s="53" t="n">
        <v>0.09313384604339511</v>
      </c>
      <c r="C50" s="54" t="n">
        <v>46</v>
      </c>
    </row>
    <row r="51">
      <c r="A51" s="53" t="n">
        <v>0.09313384604339511</v>
      </c>
      <c r="B51" s="53" t="n">
        <v>0.1059811649114172</v>
      </c>
      <c r="C51" s="54" t="n">
        <v>26</v>
      </c>
    </row>
    <row r="52">
      <c r="A52" s="53" t="n">
        <v>0.1059811649114172</v>
      </c>
      <c r="B52" s="53" t="n">
        <v>0.1188284837794394</v>
      </c>
      <c r="C52" s="54" t="n">
        <v>24</v>
      </c>
    </row>
    <row r="53">
      <c r="A53" s="53" t="n">
        <v>0.1188284837794394</v>
      </c>
      <c r="B53" s="53" t="n">
        <v>0.1316758026474615</v>
      </c>
      <c r="C53" s="54" t="n">
        <v>14</v>
      </c>
    </row>
    <row r="54">
      <c r="A54" s="53" t="n">
        <v>0.1316758026474615</v>
      </c>
      <c r="B54" s="53" t="n">
        <v>0.1445231215154835</v>
      </c>
      <c r="C54" s="54" t="n">
        <v>7</v>
      </c>
    </row>
    <row r="55">
      <c r="A55" s="53" t="n">
        <v>0.1445231215154835</v>
      </c>
      <c r="B55" s="53" t="n">
        <v>0.1573704403835057</v>
      </c>
      <c r="C55" s="54" t="n">
        <v>3</v>
      </c>
    </row>
    <row r="56">
      <c r="A56" s="53" t="n">
        <v>0.1573704403835057</v>
      </c>
      <c r="B56" s="53" t="n">
        <v>0.1702177592515278</v>
      </c>
      <c r="C56" s="54" t="n">
        <v>7</v>
      </c>
    </row>
    <row r="57">
      <c r="A57" s="53" t="n">
        <v>0.1702177592515278</v>
      </c>
      <c r="B57" s="53" t="n">
        <v>0.1830650781195499</v>
      </c>
      <c r="C57" s="54" t="n">
        <v>4</v>
      </c>
    </row>
    <row r="58">
      <c r="A58" s="53" t="n">
        <v>0.1830650781195499</v>
      </c>
      <c r="B58" s="53" t="n">
        <v>0.195912396987572</v>
      </c>
      <c r="C58" s="54" t="n">
        <v>0</v>
      </c>
    </row>
    <row r="59">
      <c r="A59" s="53" t="n">
        <v>0.195912396987572</v>
      </c>
      <c r="B59" s="53" t="n">
        <v>0.2087597158555941</v>
      </c>
      <c r="C59" s="54" t="n">
        <v>0</v>
      </c>
    </row>
    <row r="60">
      <c r="A60" s="53" t="n">
        <v>0.2087597158555941</v>
      </c>
      <c r="B60" s="53" t="n">
        <v>0.2216070347236162</v>
      </c>
      <c r="C60" s="54" t="n">
        <v>1</v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5" t="inlineStr">
        <is>
          <t>Reproducibility</t>
        </is>
      </c>
    </row>
    <row r="2">
      <c r="A2" s="2" t="inlineStr">
        <is>
          <t>Riproducibilità</t>
        </is>
      </c>
    </row>
    <row r="3">
      <c r="A3" s="37" t="inlineStr">
        <is>
          <t>ACTIVE SCENARIO →</t>
        </is>
      </c>
      <c r="B3" s="38" t="inlineStr">
        <is>
          <t>SCENARIO ATTIVO →</t>
        </is>
      </c>
      <c r="C3" s="63">
        <f>CHOOSE(scenario_index,"WORST","BASE","BEST")</f>
        <v/>
      </c>
    </row>
    <row r="4">
      <c r="A4" s="2" t="inlineStr">
        <is>
          <t>Every workbook emitted by `modelforge build` carries this metadata. The spec SHA-256 is deterministic: two workbooks built from identical spec bytes will match. Use `modelforge verify &lt;xlsx&gt; --spec &lt;yaml&gt;` to confirm a workbook was built from a given spec.</t>
        </is>
      </c>
    </row>
    <row r="5">
      <c r="A5" s="17" t="inlineStr">
        <is>
          <t>Spec SHA-256</t>
        </is>
      </c>
      <c r="B5" s="55" t="inlineStr">
        <is>
          <t>91d7bb87355830816341c62233fd156864bbac84931706e23f4ba8052bd88b47</t>
        </is>
      </c>
    </row>
    <row r="6">
      <c r="A6" s="17" t="inlineStr">
        <is>
          <t>ModelForge version</t>
        </is>
      </c>
      <c r="B6" s="5" t="inlineStr">
        <is>
          <t>0.1.0</t>
        </is>
      </c>
    </row>
    <row r="7">
      <c r="A7" s="17" t="inlineStr">
        <is>
          <t>Python version</t>
        </is>
      </c>
      <c r="B7" s="5" t="inlineStr">
        <is>
          <t>3.14.0</t>
        </is>
      </c>
    </row>
    <row r="8">
      <c r="A8" s="17" t="inlineStr">
        <is>
          <t>Build timestamp (UTC)</t>
        </is>
      </c>
      <c r="B8" s="5" t="inlineStr">
        <is>
          <t>2026-01-01T00:00:00+00:00</t>
        </is>
      </c>
    </row>
    <row r="9">
      <c r="A9" s="17" t="inlineStr">
        <is>
          <t>Spec source</t>
        </is>
      </c>
      <c r="B9" s="5" t="inlineStr">
        <is>
          <t>C:\Users\lukep\Desktop\Projects AI\ModelForge\benchmarks\specs\dcf_industrial.yaml</t>
        </is>
      </c>
    </row>
    <row r="10">
      <c r="A10" s="17" t="inlineStr">
        <is>
          <t>Host</t>
        </is>
      </c>
      <c r="B10" s="5" t="inlineStr">
        <is>
          <t>Windows 11</t>
        </is>
      </c>
    </row>
    <row r="11">
      <c r="A11" s="17" t="inlineStr">
        <is>
          <t>Python impl</t>
        </is>
      </c>
      <c r="B11" s="5" t="inlineStr">
        <is>
          <t>CPython 3.14</t>
        </is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